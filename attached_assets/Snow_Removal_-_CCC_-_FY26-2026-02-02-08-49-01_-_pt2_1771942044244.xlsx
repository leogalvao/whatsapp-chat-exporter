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January Deployment/"/>
    </mc:Choice>
  </mc:AlternateContent>
  <xr:revisionPtr revIDLastSave="8" documentId="11_FF6A626DCB385EDFDA183BF4617E43E945D3F561" xr6:coauthVersionLast="47" xr6:coauthVersionMax="47" xr10:uidLastSave="{6879926B-4F8E-40E1-A3A6-774845B979F6}"/>
  <bookViews>
    <workbookView minimized="1" xWindow="39090" yWindow="-14655" windowWidth="5730" windowHeight="13770" xr2:uid="{00000000-000D-0000-FFFF-FFFF00000000}"/>
  </bookViews>
  <sheets>
    <sheet name="Snow Removal - CCC - FY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2" i="1"/>
</calcChain>
</file>

<file path=xl/sharedStrings.xml><?xml version="1.0" encoding="utf-8"?>
<sst xmlns="http://schemas.openxmlformats.org/spreadsheetml/2006/main" count="2230" uniqueCount="451">
  <si>
    <t>Building Name</t>
  </si>
  <si>
    <t>Billing Street</t>
  </si>
  <si>
    <t>Ward</t>
  </si>
  <si>
    <t>Percentage Completed</t>
  </si>
  <si>
    <t>Attachment Count</t>
  </si>
  <si>
    <t>Deployed Removal Crew: Full Name</t>
  </si>
  <si>
    <t>Created By: Full Name</t>
  </si>
  <si>
    <t>Created Date/Time (EST)</t>
  </si>
  <si>
    <t>Snow &amp; Ice removal Name</t>
  </si>
  <si>
    <t>Snow Priority</t>
  </si>
  <si>
    <t>Only Ice Melt Applied</t>
  </si>
  <si>
    <t>1. Parking Lots Cleared</t>
  </si>
  <si>
    <t>2. Side Walks Cleared</t>
  </si>
  <si>
    <t>4. Crosswalks Accessible</t>
  </si>
  <si>
    <t>5. Exits Accessible</t>
  </si>
  <si>
    <t>6. Fire Hydrants Cleared</t>
  </si>
  <si>
    <t>7. Loading Docks &amp; Trash DumpstersClear</t>
  </si>
  <si>
    <t>Contractor Snow Removal %</t>
  </si>
  <si>
    <t>Service Area*</t>
  </si>
  <si>
    <t>RITA BRIGHT COMMUNITY CENTER</t>
  </si>
  <si>
    <t>2500 14TH STREET NW</t>
  </si>
  <si>
    <t>1</t>
  </si>
  <si>
    <t/>
  </si>
  <si>
    <t>Anibal Benitez</t>
  </si>
  <si>
    <t>1/26/2026 5:22 AM</t>
  </si>
  <si>
    <t>CSIR-260126-15292</t>
  </si>
  <si>
    <t>2</t>
  </si>
  <si>
    <t>N/A</t>
  </si>
  <si>
    <t>Yes</t>
  </si>
  <si>
    <t>REC</t>
  </si>
  <si>
    <t>PARK VIEW REC CTR</t>
  </si>
  <si>
    <t>693 OTIS PLACE NW</t>
  </si>
  <si>
    <t>CSIR-260126-15289</t>
  </si>
  <si>
    <t>LINCOLN THEATER HISTORIC</t>
  </si>
  <si>
    <t>1215 U STREET NW</t>
  </si>
  <si>
    <t>1/26/2026 3:38 AM</t>
  </si>
  <si>
    <t>CSIR-260126-15238</t>
  </si>
  <si>
    <t>3</t>
  </si>
  <si>
    <t>MUNICIPAL</t>
  </si>
  <si>
    <t>1250 U STREET NW</t>
  </si>
  <si>
    <t>1/26/2026 4:20 AM</t>
  </si>
  <si>
    <t>CSIR-260126-15240</t>
  </si>
  <si>
    <t>TUBMAN ELEMENTARY SCHOOL</t>
  </si>
  <si>
    <t>3101 13TH STREET NW</t>
  </si>
  <si>
    <t>1/26/2026 5:01 AM</t>
  </si>
  <si>
    <t>CSIR-260126-15241</t>
  </si>
  <si>
    <t>DCPS</t>
  </si>
  <si>
    <t>OYSTER-ADAMS BILINGUAL SCHOOL (ADAMS CAMPUS)</t>
  </si>
  <si>
    <t>2020 19TH STREET NW</t>
  </si>
  <si>
    <t>1/26/2026 5:03 AM</t>
  </si>
  <si>
    <t>CSIR-260126-15242</t>
  </si>
  <si>
    <t>GARNET-PATTERSON S.T.A.Y</t>
  </si>
  <si>
    <t>2001 10TH STREET NW</t>
  </si>
  <si>
    <t>1/26/2026 5:04 AM</t>
  </si>
  <si>
    <t>CSIR-260126-15243</t>
  </si>
  <si>
    <t>Tubman ES @ Old Banneker</t>
  </si>
  <si>
    <t>800 EUCLID STREET NW</t>
  </si>
  <si>
    <t>1/26/2026 5:05 AM</t>
  </si>
  <si>
    <t>CSIR-260126-15244</t>
  </si>
  <si>
    <t>BANCROFT ELEMENTARY SCHOOL</t>
  </si>
  <si>
    <t>1755 NEWTON STREET NW</t>
  </si>
  <si>
    <t>CSIR-260126-15245</t>
  </si>
  <si>
    <t>COLUMBIA HEIGHTS EDUCATION CAMPUS</t>
  </si>
  <si>
    <t>3101 16TH STREET NW</t>
  </si>
  <si>
    <t>1/26/2026 5:06 AM</t>
  </si>
  <si>
    <t>CSIR-260126-15246</t>
  </si>
  <si>
    <t>CARDOZO EDUCATION CAMPUS</t>
  </si>
  <si>
    <t>1200 CLIFTON STREET NW</t>
  </si>
  <si>
    <t>CSIR-260126-15247</t>
  </si>
  <si>
    <t>Brent @Meyer Swing Space</t>
  </si>
  <si>
    <t>2501 11TH STREET NW</t>
  </si>
  <si>
    <t>1/26/2026 5:07 AM</t>
  </si>
  <si>
    <t>CSIR-260126-15248</t>
  </si>
  <si>
    <t>CLEVELAND ELEMENTARY SCHOOL</t>
  </si>
  <si>
    <t>1825 8TH STREET NW</t>
  </si>
  <si>
    <t>1/26/2026 5:12 AM</t>
  </si>
  <si>
    <t>CSIR-260126-15249</t>
  </si>
  <si>
    <t>H.D. COOKE ELEMENTARY SCHOOL</t>
  </si>
  <si>
    <t>2525 17TH STREET NW</t>
  </si>
  <si>
    <t>1/26/2026 5:13 AM</t>
  </si>
  <si>
    <t>CSIR-260126-15250</t>
  </si>
  <si>
    <t>BRUCE-MONROE ELEMENTARY SCHOOL @ PARK VIEW</t>
  </si>
  <si>
    <t>3560 WARDER STREET NW</t>
  </si>
  <si>
    <t>1/26/2026 5:15 AM</t>
  </si>
  <si>
    <t>CSIR-260126-15252</t>
  </si>
  <si>
    <t>EUCLID COMMUNITY GARDEN</t>
  </si>
  <si>
    <t>1412 Euclid st, NW</t>
  </si>
  <si>
    <t>1/26/2026 5:21 AM</t>
  </si>
  <si>
    <t>CSIR-260126-15283</t>
  </si>
  <si>
    <t>COLUMBIA HEIGHTS RECREATION CENTER</t>
  </si>
  <si>
    <t>1480 Girard St NW</t>
  </si>
  <si>
    <t>CSIR-260126-15291</t>
  </si>
  <si>
    <t>MARIE REED RECREATION CENTER</t>
  </si>
  <si>
    <t>2200 CHAMPLAIN STREET NW</t>
  </si>
  <si>
    <t>1/26/2026 5:23 AM</t>
  </si>
  <si>
    <t>CSIR-260126-15293</t>
  </si>
  <si>
    <t>HARRISON RECREATION CENTER</t>
  </si>
  <si>
    <t>1330 V STREET NW</t>
  </si>
  <si>
    <t>CSIR-260126-15295</t>
  </si>
  <si>
    <t>TRIANGLE PARK(Ann Hughes Hargrove Park)</t>
  </si>
  <si>
    <t>COLUMBIA ROAD 19TH STREET AND KALORAMA ROAD NW</t>
  </si>
  <si>
    <t>1/26/2026 5:28 AM</t>
  </si>
  <si>
    <t>CSIR-260126-15329</t>
  </si>
  <si>
    <t>PARK</t>
  </si>
  <si>
    <t>KALORAMA RECREATION CENTER</t>
  </si>
  <si>
    <t>1875 COLUMBIA ROAD NW</t>
  </si>
  <si>
    <t>CSIR-260126-15296</t>
  </si>
  <si>
    <t>WALTER PIERCE DOG PARK</t>
  </si>
  <si>
    <t>20TH STREET NW AND CALVERT STREET NW</t>
  </si>
  <si>
    <t>1/26/2026 5:25 AM</t>
  </si>
  <si>
    <t>CSIR-260126-15310</t>
  </si>
  <si>
    <t>HOBART TWINS PARK(BOTH SIDES) 700 BLOCK</t>
  </si>
  <si>
    <t>Hobart Pl &amp; Harvard St NW; Hobart Pl &amp; Columbia Rd NW</t>
  </si>
  <si>
    <t>1/26/2026 5:24 AM</t>
  </si>
  <si>
    <t>CSIR-260126-15305</t>
  </si>
  <si>
    <t>11TH &amp; MONROE</t>
  </si>
  <si>
    <t>1101 MONROE STREET NW</t>
  </si>
  <si>
    <t>CSIR-260126-15307</t>
  </si>
  <si>
    <t>PARK RD &amp; 19TH ST NW</t>
  </si>
  <si>
    <t>PARK ROAD AND 19TH STREET</t>
  </si>
  <si>
    <t>CSIR-260126-15308</t>
  </si>
  <si>
    <t>Lamont St. west of 19th St.</t>
  </si>
  <si>
    <t>CSIR-260126-15311</t>
  </si>
  <si>
    <t>POWELL RECREATION CENTER</t>
  </si>
  <si>
    <t>3149 16TH STREET NW</t>
  </si>
  <si>
    <t>1/26/2026 5:26 AM</t>
  </si>
  <si>
    <t>CSIR-260126-15321</t>
  </si>
  <si>
    <t>LEWIS ELEMENTARY - FIELD</t>
  </si>
  <si>
    <t>300 BRYANT STREET NW - FIELD</t>
  </si>
  <si>
    <t>CSIR-260126-15322</t>
  </si>
  <si>
    <t>BANNEKER COMMUNITY CENTER</t>
  </si>
  <si>
    <t>2500 GEORGIA AVENUE NW</t>
  </si>
  <si>
    <t>CSIR-260126-15324</t>
  </si>
  <si>
    <t>BRUCE MONROE PARK</t>
  </si>
  <si>
    <t>3012 GEORGIA AVENUE NW</t>
  </si>
  <si>
    <t>1/26/2026 5:27 AM</t>
  </si>
  <si>
    <t>CSIR-260126-15326</t>
  </si>
  <si>
    <t>TRIANGLE PARK</t>
  </si>
  <si>
    <t>COLUMBIA ROAD 19TH STREET AND WYOMING AVENUE  NW</t>
  </si>
  <si>
    <t>CSIR-260126-15327</t>
  </si>
  <si>
    <t>QUARRY ROAD 18TH STREET AND HARVARD STREET  NW</t>
  </si>
  <si>
    <t>CSIR-260126-15328</t>
  </si>
  <si>
    <t>THE PARK AT LeDROIT</t>
  </si>
  <si>
    <t>3RD AND V STREET NW</t>
  </si>
  <si>
    <t>CSIR-260126-15331</t>
  </si>
  <si>
    <t>GIRARD FAMILY SHELTER</t>
  </si>
  <si>
    <t>1413 GIRARD STREET NW</t>
  </si>
  <si>
    <t>1/26/2026 5:30 AM</t>
  </si>
  <si>
    <t>CSIR-260126-15340</t>
  </si>
  <si>
    <t>DHS</t>
  </si>
  <si>
    <t>1624 V STREET NW</t>
  </si>
  <si>
    <t>CSIR-260126-15342</t>
  </si>
  <si>
    <t>FRANKLIN D. REEVES CENTER</t>
  </si>
  <si>
    <t>2000 14TH STREET NW</t>
  </si>
  <si>
    <t>CSIR-260126-15343</t>
  </si>
  <si>
    <t>WARD 1 SENIOR WELLNESS CENTER</t>
  </si>
  <si>
    <t>3531 Georgia Ave. NW</t>
  </si>
  <si>
    <t>CSIR-260126-15345</t>
  </si>
  <si>
    <t>DGS (BPO - Boiler Plant Operations)</t>
  </si>
  <si>
    <t>1325 S STREET NW</t>
  </si>
  <si>
    <t>CSIR-260126-15346</t>
  </si>
  <si>
    <t>ANNEX 8</t>
  </si>
  <si>
    <t>300 MCMILLAN DRIVE NW</t>
  </si>
  <si>
    <t>CSIR-260126-15347</t>
  </si>
  <si>
    <t>African American Civil War Museum</t>
  </si>
  <si>
    <t>1925 Vermont Ave, NW</t>
  </si>
  <si>
    <t>1/26/2026 5:31 AM</t>
  </si>
  <si>
    <t>CSIR-260126-15350</t>
  </si>
  <si>
    <t>NEW LACASA SHELTER</t>
  </si>
  <si>
    <t>1444 IRVING STREET NW</t>
  </si>
  <si>
    <t>1/26/2026 5:32 AM</t>
  </si>
  <si>
    <t>CSIR-260126-15357</t>
  </si>
  <si>
    <t>WARD 1 SHORT TERM FAMILY HOUSING</t>
  </si>
  <si>
    <t>1400 Clifton Street Northwest</t>
  </si>
  <si>
    <t>CSIR-260126-15358</t>
  </si>
  <si>
    <t>MARIE REED RECREATION ELEMENTARY SCHOOL</t>
  </si>
  <si>
    <t>2201 18TH STREET NW</t>
  </si>
  <si>
    <t>1/26/2026 2:57 PM</t>
  </si>
  <si>
    <t>CSIR-260126-15460</t>
  </si>
  <si>
    <t>SCHOOL WITHOUT WALLS HIGH SCHOOL</t>
  </si>
  <si>
    <t>2130 G STREET NW</t>
  </si>
  <si>
    <t>1/26/2026 5:18 AM</t>
  </si>
  <si>
    <t>CSIR-260126-15269</t>
  </si>
  <si>
    <t>ROSS ELEMENTARY SCHOOL</t>
  </si>
  <si>
    <t>1730 R STREET NW</t>
  </si>
  <si>
    <t>1/26/2026 5:16 AM</t>
  </si>
  <si>
    <t>CSIR-260126-15255</t>
  </si>
  <si>
    <t>SEATON ELEMENTARY SCHOOL</t>
  </si>
  <si>
    <t>1503 10TH STREET NW</t>
  </si>
  <si>
    <t>1/26/2026 5:17 AM</t>
  </si>
  <si>
    <t>CSIR-260126-15258</t>
  </si>
  <si>
    <t>GARRISON ELEMENTARY SCHOOL</t>
  </si>
  <si>
    <t>1200 S STREET NW</t>
  </si>
  <si>
    <t>1/26/2026 5:19 AM</t>
  </si>
  <si>
    <t>CSIR-260126-15272</t>
  </si>
  <si>
    <t>THOMSON ELEMENTARY SCHOOL</t>
  </si>
  <si>
    <t>1200 L STREET NW</t>
  </si>
  <si>
    <t>CSIR-260126-15263</t>
  </si>
  <si>
    <t>THADDEUS STEVENS EARLY LEARNING CENTER</t>
  </si>
  <si>
    <t>1050 21ST STREET NW</t>
  </si>
  <si>
    <t>CSIR-260126-15266</t>
  </si>
  <si>
    <t>John R. Francis Education Campus</t>
  </si>
  <si>
    <t>2425 N STREET NW</t>
  </si>
  <si>
    <t>1/26/2026 5:20 AM</t>
  </si>
  <si>
    <t>CSIR-260126-15276</t>
  </si>
  <si>
    <t>HARDY MIDDLE SCHOOL</t>
  </si>
  <si>
    <t>1819 35TH STREET NW</t>
  </si>
  <si>
    <t>CSIR-260126-15282</t>
  </si>
  <si>
    <t>12TH &amp; K ST NE</t>
  </si>
  <si>
    <t>FLORIDA AVENUE 12TH AND K STREET NE</t>
  </si>
  <si>
    <t>CSIR-260126-15284</t>
  </si>
  <si>
    <t>To Be Completed</t>
  </si>
  <si>
    <t>SLIVERS</t>
  </si>
  <si>
    <t>1322 NEW JERSEY AV NW</t>
  </si>
  <si>
    <t>CSIR-260126-15285</t>
  </si>
  <si>
    <t>SLIVER</t>
  </si>
  <si>
    <t>HYDE-ADDISON ELEMENTARY SCHOOL</t>
  </si>
  <si>
    <t>3219 O St NW</t>
  </si>
  <si>
    <t>CSIR-260126-15286</t>
  </si>
  <si>
    <t>KENNEDY REC CTR</t>
  </si>
  <si>
    <t>1401 7TH STREET NW</t>
  </si>
  <si>
    <t>CSIR-260126-15297</t>
  </si>
  <si>
    <t>ROSE PARK RECREATION CENTER</t>
  </si>
  <si>
    <t>2609 DUMBARTON ST NW</t>
  </si>
  <si>
    <t>CSIR-260126-15298</t>
  </si>
  <si>
    <t>STEAD RECREATION CENTER</t>
  </si>
  <si>
    <t>1625 P STREET NW</t>
  </si>
  <si>
    <t>CSIR-260126-15299</t>
  </si>
  <si>
    <t>VOLTA PARK RECREATION CENTER</t>
  </si>
  <si>
    <t>1555 34TH STREET NW</t>
  </si>
  <si>
    <t>CSIR-260126-15300</t>
  </si>
  <si>
    <t>MITCHELL PARK RECREATION CENTER</t>
  </si>
  <si>
    <t>1801 23RD STREET NW</t>
  </si>
  <si>
    <t>CSIR-260126-15301</t>
  </si>
  <si>
    <t>JELLEFF RECREATION CENTER</t>
  </si>
  <si>
    <t>3265 S STREET NW</t>
  </si>
  <si>
    <t>CSIR-260126-15302</t>
  </si>
  <si>
    <t>7th and N St NW</t>
  </si>
  <si>
    <t>CSIR-260126-15312</t>
  </si>
  <si>
    <t>BUNDY FIELD</t>
  </si>
  <si>
    <t>7th St NW between New Jersey Ave and 4th St NW</t>
  </si>
  <si>
    <t>CSIR-260126-15313</t>
  </si>
  <si>
    <t>BELMONT PARK</t>
  </si>
  <si>
    <t>2300 CONNECTICUT AVENUE NW</t>
  </si>
  <si>
    <t>CSIR-260126-15314</t>
  </si>
  <si>
    <t>S ST DOG PARK</t>
  </si>
  <si>
    <t>S AND 17TH STREET NW</t>
  </si>
  <si>
    <t>CSIR-260126-15316</t>
  </si>
  <si>
    <t>New Hampshire Ave, 18th and Q streets, NW</t>
  </si>
  <si>
    <t>CSIR-260126-15317</t>
  </si>
  <si>
    <t>FRENCH STREET PARK</t>
  </si>
  <si>
    <t>10th st NW and French St NW</t>
  </si>
  <si>
    <t>CSIR-260126-15318</t>
  </si>
  <si>
    <t>FRANCIS DOG PARK</t>
  </si>
  <si>
    <t>2435 N Street NW</t>
  </si>
  <si>
    <t>CSIR-260126-15332</t>
  </si>
  <si>
    <t>FEMS VACANT(2110 L Street NW) - Thaddeus Stevens School</t>
  </si>
  <si>
    <t>2110 L Street NW</t>
  </si>
  <si>
    <t>CSIR-260126-15349</t>
  </si>
  <si>
    <t>RECORDER OF DEEDS</t>
  </si>
  <si>
    <t>515 D STREET NW</t>
  </si>
  <si>
    <t>CSIR-260126-15352</t>
  </si>
  <si>
    <t>OFFICE OF PUBLIC RECORDS</t>
  </si>
  <si>
    <t>1323 NAYLOR COURT NW</t>
  </si>
  <si>
    <t>CSIR-260126-15353</t>
  </si>
  <si>
    <t>The Aston</t>
  </si>
  <si>
    <t>1129 New Hampshire Avenue Northwest</t>
  </si>
  <si>
    <t>CSIR-260126-15359</t>
  </si>
  <si>
    <t>NEW ENDEAVORS SHELTER</t>
  </si>
  <si>
    <t>611 N STREET NW</t>
  </si>
  <si>
    <t>CSIR-260126-15360</t>
  </si>
  <si>
    <t>PATT HANDY WOMENS SHELTER</t>
  </si>
  <si>
    <t>810 5TH STREET NW</t>
  </si>
  <si>
    <t>CSIR-260126-15361</t>
  </si>
  <si>
    <t>WARD 3 SHORT TERM FAMILY HOUSING (THE BROOKS)</t>
  </si>
  <si>
    <t>3318 Idaho Avenue NW</t>
  </si>
  <si>
    <t>1/26/2026 3:39 AM</t>
  </si>
  <si>
    <t>CSIR-260126-15239</t>
  </si>
  <si>
    <t>CHEVY CHASE RECREATION CENTER</t>
  </si>
  <si>
    <t>5500 41ST STREET NW</t>
  </si>
  <si>
    <t>CSIR-260126-15274</t>
  </si>
  <si>
    <t>GLOVER PARK REC</t>
  </si>
  <si>
    <t>4001 Calvert Street, NW</t>
  </si>
  <si>
    <t>CSIR-260126-15270</t>
  </si>
  <si>
    <t>CHEVY CHASE COMMUNITY CENTER</t>
  </si>
  <si>
    <t>5601 CONNECTICUT AVENUE NW</t>
  </si>
  <si>
    <t>CSIR-260126-15271</t>
  </si>
  <si>
    <t>WILSON AQUATIC CENTER</t>
  </si>
  <si>
    <t>4551 FORT DRIVE NW</t>
  </si>
  <si>
    <t>CSIR-260126-15273</t>
  </si>
  <si>
    <t>HEARST RECREATION CENTER</t>
  </si>
  <si>
    <t>3600 TILDEN STREET NW</t>
  </si>
  <si>
    <t>CSIR-260126-15275</t>
  </si>
  <si>
    <t>PALISADES COMMUNITY CENTER</t>
  </si>
  <si>
    <t>5200 SHERRIER PLACE NW</t>
  </si>
  <si>
    <t>CSIR-260126-15277</t>
  </si>
  <si>
    <t>MACOMB RECREATION CENTER</t>
  </si>
  <si>
    <t>3409 MACOMB STREET NW</t>
  </si>
  <si>
    <t>CSIR-260126-15278</t>
  </si>
  <si>
    <t>GUY MASON</t>
  </si>
  <si>
    <t>3600 CALVERT STREET NW</t>
  </si>
  <si>
    <t>CSIR-260126-15279</t>
  </si>
  <si>
    <t>FRIENDSHIP RECREATION CENTER</t>
  </si>
  <si>
    <t>4500 VAN NESS STREET NW</t>
  </si>
  <si>
    <t>CSIR-260126-15280</t>
  </si>
  <si>
    <t>HARDY RECREATION CENTER</t>
  </si>
  <si>
    <t>4500 Q STREET NW</t>
  </si>
  <si>
    <t>CSIR-260126-15281</t>
  </si>
  <si>
    <t>MacArthur School (Formerly named Georgetown Day School)</t>
  </si>
  <si>
    <t>4530 MacArthur Boulevard Northwest</t>
  </si>
  <si>
    <t>CSIR-260126-15288</t>
  </si>
  <si>
    <t>JACKSON - REED HIGH SCHOOL</t>
  </si>
  <si>
    <t>3950 CHESAPEAKE STREET NW</t>
  </si>
  <si>
    <t>CSIR-260126-15290</t>
  </si>
  <si>
    <t>OYSTER-ADAMS BILINGUAL SCHOOL (OYSTER CAMPUS)</t>
  </si>
  <si>
    <t>2801 CALVERT STREET NW</t>
  </si>
  <si>
    <t>CSIR-260126-15294</t>
  </si>
  <si>
    <t>KEY ELEMENTARY SCHOOL</t>
  </si>
  <si>
    <t>5001 DANA PLACE NW</t>
  </si>
  <si>
    <t>CSIR-260126-15306</t>
  </si>
  <si>
    <t>DEAL MIDDLE SCHOOL</t>
  </si>
  <si>
    <t>3815 FORT DRIVE NW</t>
  </si>
  <si>
    <t>CSIR-260126-15303</t>
  </si>
  <si>
    <t>EATON ELEMENTARY SCHOOL</t>
  </si>
  <si>
    <t>3301 LOWELL STREET NW</t>
  </si>
  <si>
    <t>CSIR-260126-15304</t>
  </si>
  <si>
    <t>HEARST ELEMENTARY SCHOOL</t>
  </si>
  <si>
    <t>3950 37TH STREET NW</t>
  </si>
  <si>
    <t>CSIR-260126-15309</t>
  </si>
  <si>
    <t>JANNEY ELEMENTARY SCHOOL</t>
  </si>
  <si>
    <t>4130 ALBEMARLE STREET NW</t>
  </si>
  <si>
    <t>CSIR-260126-15315</t>
  </si>
  <si>
    <t>Connecticut Ave NW &amp; Fessenden St NW(median)</t>
  </si>
  <si>
    <t>Connecticut Ave  NW &amp; Fessenden St NW(median)</t>
  </si>
  <si>
    <t>CSIR-260126-15319</t>
  </si>
  <si>
    <t>MANN ELEMENTARY SCHOOL</t>
  </si>
  <si>
    <t>4430 NEWARK STREET NW</t>
  </si>
  <si>
    <t>CSIR-260126-15320</t>
  </si>
  <si>
    <t>MURCH ELEMENTARY SCHOOL</t>
  </si>
  <si>
    <t>4810 36TH STREET NW</t>
  </si>
  <si>
    <t>CSIR-260126-15323</t>
  </si>
  <si>
    <t>STODDERT ELEMENTARY SCHOOL</t>
  </si>
  <si>
    <t>4001 CALVERT STREET NW</t>
  </si>
  <si>
    <t>CSIR-260126-15325</t>
  </si>
  <si>
    <t>Forest Hills Play Ground</t>
  </si>
  <si>
    <t>3200 Chesapeake St NW</t>
  </si>
  <si>
    <t>CSIR-260126-15333</t>
  </si>
  <si>
    <t>COLUMBIA ROAD 20TH STREET AND WYOMING AVENUE NW</t>
  </si>
  <si>
    <t>CSIR-260126-15334</t>
  </si>
  <si>
    <t>THE KENNEDY</t>
  </si>
  <si>
    <t>5505 5th Street NW</t>
  </si>
  <si>
    <t>4</t>
  </si>
  <si>
    <t>CSIR-260126-15251</t>
  </si>
  <si>
    <t>FORT STEVENS RECREATION CENTER</t>
  </si>
  <si>
    <t>1327 VAN BUREN STREET NW</t>
  </si>
  <si>
    <t>CSIR-260126-15253</t>
  </si>
  <si>
    <t>HAMILTON RECREATION CENTER</t>
  </si>
  <si>
    <t>1340 HAMILTON STREET NW</t>
  </si>
  <si>
    <t>CSIR-260126-15256</t>
  </si>
  <si>
    <t>UPSHUR</t>
  </si>
  <si>
    <t>4300 ARKANSAS AVENUE NW</t>
  </si>
  <si>
    <t>CSIR-260126-15257</t>
  </si>
  <si>
    <t>EMERY REC CTR</t>
  </si>
  <si>
    <t>5801 GEORGIA AVENUE NW</t>
  </si>
  <si>
    <t>CSIR-260126-15259</t>
  </si>
  <si>
    <t>LAFAYETTE REC CENTER/COHA</t>
  </si>
  <si>
    <t>5900 33RD STREET NW</t>
  </si>
  <si>
    <t>CSIR-260126-15260</t>
  </si>
  <si>
    <t>LAMOND RECREATION CENTER</t>
  </si>
  <si>
    <t>20 TUCKERMAN STREET NE</t>
  </si>
  <si>
    <t>CSIR-260126-15261</t>
  </si>
  <si>
    <t>RAYMOND RECREATION CENTER</t>
  </si>
  <si>
    <t>3725 10TH STREET NW</t>
  </si>
  <si>
    <t>CSIR-260126-15262</t>
  </si>
  <si>
    <t>PETWORTH RECREATION CENTER</t>
  </si>
  <si>
    <t>801 TAYLOR STREET NW</t>
  </si>
  <si>
    <t>CSIR-260126-15264</t>
  </si>
  <si>
    <t>RIGGS LASALLE RECREATION CENTER</t>
  </si>
  <si>
    <t>501 RIGGS ROAD NE</t>
  </si>
  <si>
    <t>CSIR-260126-15265</t>
  </si>
  <si>
    <t>TAKOMA RECREATION CENTER FIELD HOUSE</t>
  </si>
  <si>
    <t>301 VAN BUREN STREET NW</t>
  </si>
  <si>
    <t>CSIR-260126-15267</t>
  </si>
  <si>
    <t>TAKOMA RECREATION CENTER</t>
  </si>
  <si>
    <t>300 VAN BUREN STREET NW</t>
  </si>
  <si>
    <t>CSIR-260126-15268</t>
  </si>
  <si>
    <t>Shepherd Park Community Center</t>
  </si>
  <si>
    <t>7800 14th Street Northwest</t>
  </si>
  <si>
    <t>CSIR-260126-15287</t>
  </si>
  <si>
    <t>DPR</t>
  </si>
  <si>
    <t>TRIANGLE PARK (ZEN TRIANGLE PARK)</t>
  </si>
  <si>
    <t>KANSAS AVENUE 13TH AND QUINCY STREET NW</t>
  </si>
  <si>
    <t>1/26/2026 5:29 AM</t>
  </si>
  <si>
    <t>CSIR-260126-15337</t>
  </si>
  <si>
    <t>WEST EDUCATION CAMPUS (John Lewis)</t>
  </si>
  <si>
    <t>1335 FARRAGUT STREET NW</t>
  </si>
  <si>
    <t>CSIR-260126-15330</t>
  </si>
  <si>
    <t>TAKOMA EDUCATION CAMPUS</t>
  </si>
  <si>
    <t>7010 PINEY BRANCH ROAD NW</t>
  </si>
  <si>
    <t>CSIR-260126-15335</t>
  </si>
  <si>
    <t>TRIANGLE PARK (NEW HAMPSHIRE AVENUE 7TH AND TAYLOR ST)</t>
  </si>
  <si>
    <t>NEW HAMPSHIRE AVENUE 7TH AND TAYLOR ST</t>
  </si>
  <si>
    <t>CSIR-260126-15336</t>
  </si>
  <si>
    <t>WHITTIER EDUCATION CAMPUS</t>
  </si>
  <si>
    <t>6201 5TH STREET NW</t>
  </si>
  <si>
    <t>CSIR-260126-15338</t>
  </si>
  <si>
    <t>SHEPHERD ELEMENTARY SCHOOL</t>
  </si>
  <si>
    <t>7800 14TH STREET NW</t>
  </si>
  <si>
    <t>CSIR-260126-15339</t>
  </si>
  <si>
    <t>TRUESDELL EDUCATION CAMPUS</t>
  </si>
  <si>
    <t>800 INGRAHAM STREET NW</t>
  </si>
  <si>
    <t>CSIR-260126-15344</t>
  </si>
  <si>
    <t>MILITARY ROAD EARLY LEARNING CENTER</t>
  </si>
  <si>
    <t>1375 Missouri Avenue Northwest</t>
  </si>
  <si>
    <t>CSIR-260126-15348</t>
  </si>
  <si>
    <t>DOROTHY HEIGHT ELEMENTARY SCHOOL</t>
  </si>
  <si>
    <t>1300 ALLISON STREET NW</t>
  </si>
  <si>
    <t>CSIR-260126-15351</t>
  </si>
  <si>
    <t>HATTIE HOLMES SENIOR WELLNESS CENTER</t>
  </si>
  <si>
    <t>310-324 KENNEDY STREET NW</t>
  </si>
  <si>
    <t>CSIR-260126-15354</t>
  </si>
  <si>
    <t>SHARPE HEALTH SWING SPACE</t>
  </si>
  <si>
    <t>4300 13TH STREET NW</t>
  </si>
  <si>
    <t>CSIR-260126-15355</t>
  </si>
  <si>
    <t>POWELL ELEMENTARY SCHOOL</t>
  </si>
  <si>
    <t>1350 UPSHUR STREET NW</t>
  </si>
  <si>
    <t>CSIR-260126-15356</t>
  </si>
  <si>
    <t>LASALLE-BACKUS EDUCATION CAMPUS</t>
  </si>
  <si>
    <t>CSIR-260126-15362</t>
  </si>
  <si>
    <t>LACASA TRP</t>
  </si>
  <si>
    <t>1131 SPRING ROAD NW</t>
  </si>
  <si>
    <t>1/26/2026 5:33 AM</t>
  </si>
  <si>
    <t>CSIR-260126-15363</t>
  </si>
  <si>
    <t>MACFARLAND MIDDLE SCHOOL</t>
  </si>
  <si>
    <t>4400 IOWA AVENUE NW</t>
  </si>
  <si>
    <t>1/26/2026 5:34 AM</t>
  </si>
  <si>
    <t>CSIR-260126-15364</t>
  </si>
  <si>
    <t>BRIGHTWOOD EDUCATION CAMPUS</t>
  </si>
  <si>
    <t>1300 NICHOLSON STREET NW</t>
  </si>
  <si>
    <t>CSIR-260126-15365</t>
  </si>
  <si>
    <t>LAFAYETTE ELEMENTARY SCHOOL</t>
  </si>
  <si>
    <t>5701 BROAD BRANCH ROAD NW</t>
  </si>
  <si>
    <t>1/26/2026 5:36 AM</t>
  </si>
  <si>
    <t>CSIR-260126-15366</t>
  </si>
  <si>
    <t>RAYMOND EDUCATION CAMPUS</t>
  </si>
  <si>
    <t>915 SPRING ROAD NW</t>
  </si>
  <si>
    <t>CSIR-260126-15367</t>
  </si>
  <si>
    <t>BARNARD ELEMENTARY SCHOOL</t>
  </si>
  <si>
    <t>430 DECATUR STREET NW</t>
  </si>
  <si>
    <t>1/26/2026 5:37 AM</t>
  </si>
  <si>
    <t>CSIR-260126-15368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</si>
</sst>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builder-my.sharepoint.com/personal/lgalvao_cc-builder_com/Documents/Documents/Snow%20Removal/January%20Deployment/Snow%20Pre-Treatment%20-%20CCC%20-%20FY26-2026-02-02-08-47-34.xlsx" TargetMode="External"/><Relationship Id="rId1" Type="http://schemas.openxmlformats.org/officeDocument/2006/relationships/externalLinkPath" Target="Snow%20Pre-Treatment%20-%20CCC%20-%20FY26-2026-02-02-08-47-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ow Pre-Treatment - CCC - FY26"/>
    </sheetNames>
    <sheetDataSet>
      <sheetData sheetId="0">
        <row r="1">
          <cell r="C1" t="str">
            <v>Billing Street</v>
          </cell>
          <cell r="G1" t="str">
            <v>Snow Pre-Treatment  ID</v>
          </cell>
        </row>
        <row r="2">
          <cell r="C2" t="str">
            <v>301 VAN BUREN STREET NW</v>
          </cell>
          <cell r="G2" t="str">
            <v>CSPT - 230126-30690</v>
          </cell>
        </row>
        <row r="3">
          <cell r="C3" t="str">
            <v>5505 5th Street NW</v>
          </cell>
          <cell r="G3" t="str">
            <v>CSPT - 230126-30481</v>
          </cell>
        </row>
        <row r="4">
          <cell r="C4" t="str">
            <v>NEW HAMPSHIRE AVENUE 7TH AND TAYLOR ST</v>
          </cell>
          <cell r="G4" t="str">
            <v>CSPT - 230126-30547</v>
          </cell>
        </row>
        <row r="5">
          <cell r="C5" t="str">
            <v>1335 FARRAGUT STREET NW</v>
          </cell>
          <cell r="G5" t="str">
            <v>CSPT - 230126-30444</v>
          </cell>
        </row>
        <row r="6">
          <cell r="C6" t="str">
            <v>7010 PINEY BRANCH ROAD NW</v>
          </cell>
          <cell r="G6" t="str">
            <v>CSPT - 230126-30447</v>
          </cell>
        </row>
        <row r="7">
          <cell r="C7" t="str">
            <v>1131 SPRING ROAD NW</v>
          </cell>
          <cell r="G7" t="str">
            <v>CSPT - 230126-30491</v>
          </cell>
        </row>
        <row r="8">
          <cell r="C8" t="str">
            <v>310-324 KENNEDY STREET NW</v>
          </cell>
          <cell r="G8" t="str">
            <v>CSPT - 230126-30496</v>
          </cell>
        </row>
        <row r="9">
          <cell r="C9" t="str">
            <v>7800 14th Street Northwest</v>
          </cell>
          <cell r="G9" t="str">
            <v>CSPT - 230126-30541</v>
          </cell>
        </row>
        <row r="10">
          <cell r="C10" t="str">
            <v>KANSAS AVENUE 13TH AND QUINCY STREET NW</v>
          </cell>
          <cell r="G10" t="str">
            <v>CSPT - 230126-30548</v>
          </cell>
        </row>
        <row r="11">
          <cell r="C11" t="str">
            <v>4300 ARKANSAS AVENUE NW</v>
          </cell>
          <cell r="G11" t="str">
            <v>CSPT - 230126-30557</v>
          </cell>
        </row>
        <row r="12">
          <cell r="C12" t="str">
            <v>20 TUCKERMAN STREET NE</v>
          </cell>
          <cell r="G12" t="str">
            <v>CSPT - 230126-30683</v>
          </cell>
        </row>
        <row r="13">
          <cell r="C13" t="str">
            <v>801 TAYLOR STREET NW</v>
          </cell>
          <cell r="G13" t="str">
            <v>CSPT - 230126-30687</v>
          </cell>
        </row>
        <row r="14">
          <cell r="C14" t="str">
            <v>5801 GEORGIA AVENUE NW</v>
          </cell>
          <cell r="G14" t="str">
            <v>CSPT - 230126-30680</v>
          </cell>
        </row>
        <row r="15">
          <cell r="C15" t="str">
            <v>5900 33RD STREET NW</v>
          </cell>
          <cell r="G15" t="str">
            <v>CSPT - 230126-30681</v>
          </cell>
        </row>
        <row r="16">
          <cell r="C16" t="str">
            <v>3725 10TH STREET NW</v>
          </cell>
          <cell r="G16" t="str">
            <v>CSPT - 230126-30684</v>
          </cell>
        </row>
        <row r="17">
          <cell r="C17" t="str">
            <v>501 RIGGS ROAD NE</v>
          </cell>
          <cell r="G17" t="str">
            <v>CSPT - 230126-30688</v>
          </cell>
        </row>
        <row r="18">
          <cell r="C18" t="str">
            <v>300 VAN BUREN STREET NW</v>
          </cell>
          <cell r="G18" t="str">
            <v>CSPT - 230126-30691</v>
          </cell>
        </row>
        <row r="19">
          <cell r="C19" t="str">
            <v>1327 VAN BUREN STREET NW</v>
          </cell>
          <cell r="G19" t="str">
            <v>CSPT - 230126-30692</v>
          </cell>
        </row>
        <row r="20">
          <cell r="C20" t="str">
            <v>1340 HAMILTON STREET NW</v>
          </cell>
          <cell r="G20" t="str">
            <v>CSPT - 230126-30693</v>
          </cell>
        </row>
        <row r="21">
          <cell r="C21" t="str">
            <v>1300 ALLISON STREET NW</v>
          </cell>
          <cell r="G21" t="str">
            <v>CSPT - 230126-30470</v>
          </cell>
        </row>
        <row r="22">
          <cell r="C22" t="str">
            <v>1350 UPSHUR STREET NW</v>
          </cell>
          <cell r="G22" t="str">
            <v>CSPT - 230126-30484</v>
          </cell>
        </row>
        <row r="23">
          <cell r="C23" t="str">
            <v>4300 13TH STREET NW</v>
          </cell>
          <cell r="G23" t="str">
            <v>CSPT - 230126-30472</v>
          </cell>
        </row>
        <row r="24">
          <cell r="C24" t="str">
            <v>6201 5TH STREET NW</v>
          </cell>
          <cell r="G24" t="str">
            <v>CSPT - 230126-30452</v>
          </cell>
        </row>
        <row r="25">
          <cell r="C25" t="str">
            <v>7800 14TH STREET NW</v>
          </cell>
          <cell r="G25" t="str">
            <v>CSPT - 230126-30457</v>
          </cell>
        </row>
        <row r="26">
          <cell r="C26" t="str">
            <v>800 INGRAHAM STREET NW</v>
          </cell>
          <cell r="G26" t="str">
            <v>CSPT - 230126-30458</v>
          </cell>
        </row>
        <row r="27">
          <cell r="C27" t="str">
            <v>1375 Missouri Avenue Northwest</v>
          </cell>
          <cell r="G27" t="str">
            <v>CSPT - 230126-30468</v>
          </cell>
        </row>
        <row r="28">
          <cell r="C28" t="str">
            <v>915 SPRING ROAD NW</v>
          </cell>
          <cell r="G28" t="str">
            <v>CSPT - 230126-30478</v>
          </cell>
        </row>
        <row r="29">
          <cell r="C29" t="str">
            <v>501 RIGGS ROAD NE</v>
          </cell>
          <cell r="G29" t="str">
            <v>CSPT - 230126-30473</v>
          </cell>
        </row>
        <row r="30">
          <cell r="C30" t="str">
            <v>4400 IOWA AVENUE NW</v>
          </cell>
          <cell r="G30" t="str">
            <v>CSPT - 230126-30474</v>
          </cell>
        </row>
        <row r="31">
          <cell r="C31" t="str">
            <v>1300 NICHOLSON STREET NW</v>
          </cell>
          <cell r="G31" t="str">
            <v>CSPT - 230126-30475</v>
          </cell>
        </row>
        <row r="32">
          <cell r="C32" t="str">
            <v>430 DECATUR STREET NW</v>
          </cell>
          <cell r="G32" t="str">
            <v>CSPT - 230126-30477</v>
          </cell>
        </row>
        <row r="33">
          <cell r="C33" t="str">
            <v>5701 BROAD BRANCH ROAD NW</v>
          </cell>
          <cell r="G33" t="str">
            <v>CSPT - 230126-30483</v>
          </cell>
        </row>
        <row r="34">
          <cell r="C34" t="str">
            <v>5601 CONNECTICUT AVENUE NW</v>
          </cell>
          <cell r="G34" t="str">
            <v>CSPT - 230126-30694</v>
          </cell>
        </row>
        <row r="35">
          <cell r="C35" t="str">
            <v>3318 Idaho Avenue NW</v>
          </cell>
          <cell r="G35" t="str">
            <v>CSPT - 230126-30501</v>
          </cell>
        </row>
        <row r="36">
          <cell r="C36" t="str">
            <v>Connecticut Ave  NW &amp; Fessenden St NW(median)</v>
          </cell>
          <cell r="G36" t="str">
            <v>CSPT - 230126-30550</v>
          </cell>
        </row>
        <row r="37">
          <cell r="C37" t="str">
            <v>3200 Chesapeake St NW</v>
          </cell>
          <cell r="G37" t="str">
            <v>CSPT - 230126-30553</v>
          </cell>
        </row>
        <row r="38">
          <cell r="C38" t="str">
            <v>3409 MACOMB STREET NW</v>
          </cell>
          <cell r="G38" t="str">
            <v>CSPT - 230126-30700</v>
          </cell>
        </row>
        <row r="39">
          <cell r="C39" t="str">
            <v>4001 Calvert Street, NW</v>
          </cell>
          <cell r="G39" t="str">
            <v>CSPT - 230126-30695</v>
          </cell>
        </row>
        <row r="40">
          <cell r="C40" t="str">
            <v>5500 41ST STREET NW</v>
          </cell>
          <cell r="G40" t="str">
            <v>CSPT - 230126-30697</v>
          </cell>
        </row>
        <row r="41">
          <cell r="C41" t="str">
            <v>COLUMBIA ROAD 20TH STREET AND WYOMING AVENUE NW</v>
          </cell>
          <cell r="G41" t="str">
            <v>CSPT - 230126-30634</v>
          </cell>
        </row>
        <row r="42">
          <cell r="C42" t="str">
            <v>4551 FORT DRIVE NW</v>
          </cell>
          <cell r="G42" t="str">
            <v>CSPT - 230126-30696</v>
          </cell>
        </row>
        <row r="43">
          <cell r="C43" t="str">
            <v>3600 TILDEN STREET NW</v>
          </cell>
          <cell r="G43" t="str">
            <v>CSPT - 230126-30698</v>
          </cell>
        </row>
        <row r="44">
          <cell r="C44" t="str">
            <v>5200 SHERRIER PLACE NW</v>
          </cell>
          <cell r="G44" t="str">
            <v>CSPT - 230126-30699</v>
          </cell>
        </row>
        <row r="45">
          <cell r="C45" t="str">
            <v>3600 CALVERT STREET NW</v>
          </cell>
          <cell r="G45" t="str">
            <v>CSPT - 230126-30702</v>
          </cell>
        </row>
        <row r="46">
          <cell r="C46" t="str">
            <v>4500 VAN NESS STREET NW</v>
          </cell>
          <cell r="G46" t="str">
            <v>CSPT - 230126-30707</v>
          </cell>
        </row>
        <row r="47">
          <cell r="C47" t="str">
            <v>4810 36TH STREET NW</v>
          </cell>
          <cell r="G47" t="str">
            <v>CSPT - 230126-30512</v>
          </cell>
        </row>
        <row r="48">
          <cell r="C48" t="str">
            <v>3950 37TH STREET NW</v>
          </cell>
          <cell r="G48" t="str">
            <v>CSPT - 230126-30503</v>
          </cell>
        </row>
        <row r="49">
          <cell r="C49" t="str">
            <v>4500 Q STREET NW</v>
          </cell>
          <cell r="G49" t="str">
            <v>CSPT - 230126-30705</v>
          </cell>
        </row>
        <row r="50">
          <cell r="C50" t="str">
            <v>4530 MacArthur Boulevard Northwest</v>
          </cell>
          <cell r="G50" t="str">
            <v>CSPT - 230126-30485</v>
          </cell>
        </row>
        <row r="51">
          <cell r="C51" t="str">
            <v>3950 CHESAPEAKE STREET NW</v>
          </cell>
          <cell r="G51" t="str">
            <v>CSPT - 230126-30486</v>
          </cell>
        </row>
        <row r="52">
          <cell r="C52" t="str">
            <v>2801 CALVERT STREET NW</v>
          </cell>
          <cell r="G52" t="str">
            <v>CSPT - 230126-30490</v>
          </cell>
        </row>
        <row r="53">
          <cell r="C53" t="str">
            <v>3815 FORT DRIVE NW</v>
          </cell>
          <cell r="G53" t="str">
            <v>CSPT - 230126-30495</v>
          </cell>
        </row>
        <row r="54">
          <cell r="C54" t="str">
            <v>3301 LOWELL STREET NW</v>
          </cell>
          <cell r="G54" t="str">
            <v>CSPT - 230126-30497</v>
          </cell>
        </row>
        <row r="55">
          <cell r="C55" t="str">
            <v>5001 DANA PLACE NW</v>
          </cell>
          <cell r="G55" t="str">
            <v>CSPT - 230126-30499</v>
          </cell>
        </row>
        <row r="56">
          <cell r="C56" t="str">
            <v>4130 ALBEMARLE STREET NW</v>
          </cell>
          <cell r="G56" t="str">
            <v>CSPT - 230126-30507</v>
          </cell>
        </row>
        <row r="57">
          <cell r="C57" t="str">
            <v>4430 NEWARK STREET NW</v>
          </cell>
          <cell r="G57" t="str">
            <v>CSPT - 230126-30510</v>
          </cell>
        </row>
        <row r="58">
          <cell r="C58" t="str">
            <v>4001 CALVERT STREET NW</v>
          </cell>
          <cell r="G58" t="str">
            <v>CSPT - 230126-30517</v>
          </cell>
        </row>
        <row r="59">
          <cell r="C59" t="str">
            <v>1322 NEW JERSEY AV NW</v>
          </cell>
          <cell r="G59" t="str">
            <v>CSPT - 230126-30544</v>
          </cell>
        </row>
        <row r="60">
          <cell r="C60" t="str">
            <v>611 N STREET NW</v>
          </cell>
          <cell r="G60" t="str">
            <v>CSPT - 230126-30504</v>
          </cell>
        </row>
        <row r="61">
          <cell r="C61" t="str">
            <v>7th and N St NW</v>
          </cell>
          <cell r="G61" t="str">
            <v>CSPT - 230126-30643</v>
          </cell>
        </row>
        <row r="62">
          <cell r="C62" t="str">
            <v>10th st NW and French St NW</v>
          </cell>
          <cell r="G62" t="str">
            <v>CSPT - 230126-30656</v>
          </cell>
        </row>
        <row r="63">
          <cell r="C63" t="str">
            <v>515 D STREET NW</v>
          </cell>
          <cell r="G63" t="str">
            <v>CSPT - 230126-30515</v>
          </cell>
        </row>
        <row r="64">
          <cell r="C64" t="str">
            <v>1730 R STREET NW</v>
          </cell>
          <cell r="G64" t="str">
            <v>CSPT - 230126-30489</v>
          </cell>
        </row>
        <row r="65">
          <cell r="C65" t="str">
            <v>1129 New Hampshire Avenue Northwest</v>
          </cell>
          <cell r="G65" t="str">
            <v>CSPT - 230126-30502</v>
          </cell>
        </row>
        <row r="66">
          <cell r="C66" t="str">
            <v>2110 L Street NW</v>
          </cell>
          <cell r="G66" t="str">
            <v>CSPT - 230126-30522</v>
          </cell>
        </row>
        <row r="67">
          <cell r="C67" t="str">
            <v>810 5TH STREET NW</v>
          </cell>
          <cell r="G67" t="str">
            <v>CSPT - 230126-30508</v>
          </cell>
        </row>
        <row r="68">
          <cell r="C68" t="str">
            <v>1323 NAYLOR COURT NW</v>
          </cell>
          <cell r="G68" t="str">
            <v>CSPT - 230126-30518</v>
          </cell>
        </row>
        <row r="69">
          <cell r="C69" t="str">
            <v>7th St NW between New Jersey Ave and 4th St NW</v>
          </cell>
          <cell r="G69" t="str">
            <v>CSPT - 230126-30644</v>
          </cell>
        </row>
        <row r="70">
          <cell r="C70" t="str">
            <v>FLORIDA AVENUE 12TH AND K STREET NE</v>
          </cell>
          <cell r="G70" t="str">
            <v>CSPT - 230126-30539</v>
          </cell>
        </row>
        <row r="71">
          <cell r="C71" t="str">
            <v>New Hampshire Ave, 18th and Q streets, NW</v>
          </cell>
          <cell r="G71" t="str">
            <v>CSPT - 230126-30653</v>
          </cell>
        </row>
        <row r="72">
          <cell r="C72" t="str">
            <v>2435 N Street NW</v>
          </cell>
          <cell r="G72" t="str">
            <v>CSPT - 230126-30645</v>
          </cell>
        </row>
        <row r="73">
          <cell r="C73" t="str">
            <v>2300 CONNECTICUT AVENUE NW</v>
          </cell>
          <cell r="G73" t="str">
            <v>CSPT - 230126-30649</v>
          </cell>
        </row>
        <row r="74">
          <cell r="C74" t="str">
            <v>S AND 17TH STREET NW</v>
          </cell>
          <cell r="G74" t="str">
            <v>CSPT - 230126-30651</v>
          </cell>
        </row>
        <row r="75">
          <cell r="C75" t="str">
            <v>3265 S STREET NW</v>
          </cell>
          <cell r="G75" t="str">
            <v>CSPT - 230126-30685</v>
          </cell>
        </row>
        <row r="76">
          <cell r="C76" t="str">
            <v>1401 7TH STREET NW</v>
          </cell>
          <cell r="G76" t="str">
            <v>CSPT - 230126-30701</v>
          </cell>
        </row>
        <row r="77">
          <cell r="C77" t="str">
            <v>1503 10TH STREET NW</v>
          </cell>
          <cell r="G77" t="str">
            <v>CSPT - 230126-30546</v>
          </cell>
        </row>
        <row r="78">
          <cell r="C78" t="str">
            <v>1200 S STREET NW</v>
          </cell>
          <cell r="G78" t="str">
            <v>CSPT - 230126-30568</v>
          </cell>
        </row>
        <row r="79">
          <cell r="C79" t="str">
            <v>1200 L STREET NW</v>
          </cell>
          <cell r="G79" t="str">
            <v>CSPT - 230126-30519</v>
          </cell>
        </row>
        <row r="80">
          <cell r="C80" t="str">
            <v>1050 21ST STREET NW</v>
          </cell>
          <cell r="G80" t="str">
            <v>CSPT - 230126-30563</v>
          </cell>
        </row>
        <row r="81">
          <cell r="C81" t="str">
            <v>2130 G STREET NW</v>
          </cell>
          <cell r="G81" t="str">
            <v>CSPT - 230126-30565</v>
          </cell>
        </row>
        <row r="82">
          <cell r="C82" t="str">
            <v>2425 N STREET NW</v>
          </cell>
          <cell r="G82" t="str">
            <v>CSPT - 230126-30572</v>
          </cell>
        </row>
        <row r="83">
          <cell r="C83" t="str">
            <v>1819 35TH STREET NW</v>
          </cell>
          <cell r="G83" t="str">
            <v>CSPT - 230126-30573</v>
          </cell>
        </row>
        <row r="84">
          <cell r="C84" t="str">
            <v>3219 O St NW</v>
          </cell>
          <cell r="G84" t="str">
            <v>CSPT - 230126-30586</v>
          </cell>
        </row>
        <row r="85">
          <cell r="C85" t="str">
            <v>1801 23RD STREET NW</v>
          </cell>
          <cell r="G85" t="str">
            <v>CSPT - 230126-30686</v>
          </cell>
        </row>
        <row r="86">
          <cell r="C86" t="str">
            <v>1625 P STREET NW</v>
          </cell>
          <cell r="G86" t="str">
            <v>CSPT - 230126-30689</v>
          </cell>
        </row>
        <row r="87">
          <cell r="C87" t="str">
            <v>2609 DUMBARTON ST NW</v>
          </cell>
          <cell r="G87" t="str">
            <v>CSPT - 230126-30703</v>
          </cell>
        </row>
        <row r="88">
          <cell r="C88" t="str">
            <v>1555 34TH STREET NW</v>
          </cell>
          <cell r="G88" t="str">
            <v>CSPT - 230126-30704</v>
          </cell>
        </row>
        <row r="89">
          <cell r="C89" t="str">
            <v>1300 NAYLOR COURT NW</v>
          </cell>
          <cell r="G89" t="str">
            <v/>
          </cell>
        </row>
        <row r="90">
          <cell r="C90" t="str">
            <v>1250 U STREET NW</v>
          </cell>
          <cell r="G90" t="str">
            <v>CSPT - 230126-30535</v>
          </cell>
        </row>
        <row r="91">
          <cell r="C91" t="str">
            <v>1825 8TH STREET NW</v>
          </cell>
          <cell r="G91" t="str">
            <v>CSPT - 230126-30628</v>
          </cell>
        </row>
        <row r="92">
          <cell r="C92" t="str">
            <v>2525 17TH STREET NW</v>
          </cell>
          <cell r="G92" t="str">
            <v>CSPT - 230126-30629</v>
          </cell>
        </row>
        <row r="93">
          <cell r="C93" t="str">
            <v>1413 GIRARD STREET NW</v>
          </cell>
          <cell r="G93" t="str">
            <v>CSPT - 230126-30509</v>
          </cell>
        </row>
        <row r="94">
          <cell r="C94" t="str">
            <v>1444 IRVING STREET NW</v>
          </cell>
          <cell r="G94" t="str">
            <v>CSPT - 230126-30511</v>
          </cell>
        </row>
        <row r="95">
          <cell r="C95" t="str">
            <v>1400 Clifton Street Northwest</v>
          </cell>
          <cell r="G95" t="str">
            <v>CSPT - 230126-30514</v>
          </cell>
        </row>
        <row r="96">
          <cell r="C96" t="str">
            <v>1215 U STREET NW</v>
          </cell>
          <cell r="G96" t="str">
            <v>CSPT - 230126-30523</v>
          </cell>
        </row>
        <row r="97">
          <cell r="C97" t="str">
            <v>1624 V STREET NW</v>
          </cell>
          <cell r="G97" t="str">
            <v>CSPT - 230126-30525</v>
          </cell>
        </row>
        <row r="98">
          <cell r="C98" t="str">
            <v>3531 Georgia Ave. NW</v>
          </cell>
          <cell r="G98" t="str">
            <v>CSPT - 230126-30527</v>
          </cell>
        </row>
        <row r="99">
          <cell r="C99" t="str">
            <v>1325 S STREET NW</v>
          </cell>
          <cell r="G99" t="str">
            <v>CSPT - 230126-30529</v>
          </cell>
        </row>
        <row r="100">
          <cell r="C100" t="str">
            <v>1925 Vermont Ave, NW</v>
          </cell>
          <cell r="G100" t="str">
            <v>CSPT - 230126-30533</v>
          </cell>
        </row>
        <row r="101">
          <cell r="C101" t="str">
            <v>1101 MONROE STREET NW</v>
          </cell>
          <cell r="G101" t="str">
            <v>CSPT - 230126-30659</v>
          </cell>
        </row>
        <row r="102">
          <cell r="C102" t="str">
            <v>300 MCMILLAN DRIVE NW</v>
          </cell>
          <cell r="G102" t="str">
            <v>CSPT - 230126-30537</v>
          </cell>
        </row>
        <row r="103">
          <cell r="C103" t="str">
            <v>1412 Euclid st, NW</v>
          </cell>
          <cell r="G103" t="str">
            <v>CSPT - 230126-30555</v>
          </cell>
        </row>
        <row r="104">
          <cell r="C104" t="str">
            <v>1875 COLUMBIA ROAD NW</v>
          </cell>
          <cell r="G104" t="str">
            <v>CSPT - 230126-30560</v>
          </cell>
        </row>
        <row r="105">
          <cell r="C105" t="str">
            <v>COLUMBIA ROAD 19TH STREET AND KALORAMA ROAD NW</v>
          </cell>
          <cell r="G105" t="str">
            <v>CSPT - 230126-30670</v>
          </cell>
        </row>
        <row r="106">
          <cell r="C106" t="str">
            <v>800 EUCLID STREET NW</v>
          </cell>
          <cell r="G106" t="str">
            <v>CSPT - 230126-30610</v>
          </cell>
        </row>
        <row r="107">
          <cell r="C107" t="str">
            <v>3149 16TH STREET NW</v>
          </cell>
          <cell r="G107" t="str">
            <v>CSPT - 230126-30623</v>
          </cell>
        </row>
        <row r="108">
          <cell r="C108" t="str">
            <v>20TH STREET NW AND CALVERT STREET NW</v>
          </cell>
          <cell r="G108" t="str">
            <v>CSPT - 230126-30665</v>
          </cell>
        </row>
        <row r="109">
          <cell r="C109" t="str">
            <v>2201 18TH STREET NW</v>
          </cell>
          <cell r="G109" t="str">
            <v>CSPT - 230126-30647</v>
          </cell>
        </row>
        <row r="110">
          <cell r="C110" t="str">
            <v>Hobart Pl &amp; Harvard St NW; Hobart Pl &amp; Columbia Rd NW</v>
          </cell>
          <cell r="G110" t="str">
            <v>CSPT - 230126-30658</v>
          </cell>
        </row>
        <row r="111">
          <cell r="C111" t="str">
            <v>3012 GEORGIA AVENUE NW</v>
          </cell>
          <cell r="G111" t="str">
            <v>CSPT - 230126-30663</v>
          </cell>
        </row>
        <row r="112">
          <cell r="C112" t="str">
            <v>PARK ROAD AND 19TH STREET</v>
          </cell>
          <cell r="G112" t="str">
            <v>CSPT - 230126-30664</v>
          </cell>
        </row>
        <row r="113">
          <cell r="C113" t="str">
            <v>COLUMBIA ROAD 19TH STREET AND WYOMING AVENUE  NW</v>
          </cell>
          <cell r="G113" t="str">
            <v>CSPT - 230126-30668</v>
          </cell>
        </row>
        <row r="114">
          <cell r="C114" t="str">
            <v>QUARRY ROAD 18TH STREET AND HARVARD STREET  NW</v>
          </cell>
          <cell r="G114" t="str">
            <v>CSPT - 230126-30669</v>
          </cell>
        </row>
        <row r="115">
          <cell r="C115" t="str">
            <v>3RD AND V STREET NW</v>
          </cell>
          <cell r="G115" t="str">
            <v>CSPT - 230126-30672</v>
          </cell>
        </row>
        <row r="116">
          <cell r="C116" t="str">
            <v>Lamont St. west of 19th St.</v>
          </cell>
          <cell r="G116" t="str">
            <v>CSPT - 230126-30678</v>
          </cell>
        </row>
        <row r="117">
          <cell r="C117" t="str">
            <v>3560 WARDER STREET NW</v>
          </cell>
          <cell r="G117" t="str">
            <v>CSPT - 230126-30714</v>
          </cell>
        </row>
        <row r="118">
          <cell r="C118" t="str">
            <v>1200 CLIFTON STREET NW</v>
          </cell>
          <cell r="G118" t="str">
            <v>CSPT - 230126-30743</v>
          </cell>
        </row>
        <row r="119">
          <cell r="C119" t="str">
            <v>2000 14TH STREET NW</v>
          </cell>
          <cell r="G119" t="str">
            <v>CSPT - 230126-30742</v>
          </cell>
        </row>
        <row r="120">
          <cell r="C120" t="str">
            <v>3101 13TH STREET NW</v>
          </cell>
          <cell r="G120" t="str">
            <v>CSPT - 230126-30767</v>
          </cell>
        </row>
        <row r="121">
          <cell r="C121" t="str">
            <v>2501 11TH STREET NW</v>
          </cell>
          <cell r="G121" t="str">
            <v>CSPT - 230126-30608</v>
          </cell>
        </row>
        <row r="122">
          <cell r="C122" t="str">
            <v>1755 NEWTON STREET NW</v>
          </cell>
          <cell r="G122" t="str">
            <v>CSPT - 230126-30602</v>
          </cell>
        </row>
        <row r="123">
          <cell r="C123" t="str">
            <v>2001 10TH STREET NW</v>
          </cell>
          <cell r="G123" t="str">
            <v>CSPT - 230126-30598</v>
          </cell>
        </row>
        <row r="124">
          <cell r="C124" t="str">
            <v>3101 16TH STREET NW</v>
          </cell>
          <cell r="G124" t="str">
            <v>CSPT - 230126-30605</v>
          </cell>
        </row>
        <row r="125">
          <cell r="C125" t="str">
            <v>2020 19TH STREET NW</v>
          </cell>
          <cell r="G125" t="str">
            <v>CSPT - 230126-30595</v>
          </cell>
        </row>
        <row r="126">
          <cell r="C126" t="str">
            <v>300 BRYANT STREET NW - FIELD</v>
          </cell>
          <cell r="G126" t="str">
            <v>CSPT - 230126-30682</v>
          </cell>
        </row>
        <row r="127">
          <cell r="C127" t="str">
            <v>2500 GEORGIA AVENUE NW</v>
          </cell>
          <cell r="G127" t="str">
            <v>CSPT - 230126-30679</v>
          </cell>
        </row>
        <row r="128">
          <cell r="C128" t="str">
            <v>1330 V STREET NW</v>
          </cell>
          <cell r="G128" t="str">
            <v>CSPT - 230126-30667</v>
          </cell>
        </row>
        <row r="129">
          <cell r="C129" t="str">
            <v>2200 CHAMPLAIN STREET NW</v>
          </cell>
          <cell r="G129" t="str">
            <v>CSPT - 230126-30673</v>
          </cell>
        </row>
        <row r="130">
          <cell r="C130" t="str">
            <v>2500 14TH STREET NW</v>
          </cell>
          <cell r="G130" t="str">
            <v>CSPT - 230126-30674</v>
          </cell>
        </row>
        <row r="131">
          <cell r="C131" t="str">
            <v>1480 Girard St NW</v>
          </cell>
          <cell r="G131" t="str">
            <v>CSPT - 230126-30676</v>
          </cell>
        </row>
        <row r="132">
          <cell r="C132" t="str">
            <v>693 OTIS PLACE NW</v>
          </cell>
          <cell r="G132" t="str">
            <v>CSPT - 230126-30708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"/>
  <sheetViews>
    <sheetView tabSelected="1" topLeftCell="B115" workbookViewId="0">
      <selection activeCell="C2" sqref="C2:C131"/>
    </sheetView>
  </sheetViews>
  <sheetFormatPr defaultRowHeight="14.4" x14ac:dyDescent="0.3"/>
  <cols>
    <col min="1" max="1" width="57" customWidth="1"/>
    <col min="2" max="2" width="55" customWidth="1"/>
    <col min="3" max="3" width="6" customWidth="1"/>
    <col min="4" max="4" width="22" customWidth="1"/>
    <col min="5" max="5" width="18" customWidth="1"/>
    <col min="6" max="6" width="34" customWidth="1"/>
    <col min="7" max="7" width="23" customWidth="1"/>
    <col min="8" max="11" width="25" customWidth="1"/>
    <col min="12" max="12" width="15" customWidth="1"/>
    <col min="13" max="13" width="23" customWidth="1"/>
    <col min="14" max="14" width="25" customWidth="1"/>
    <col min="15" max="15" width="23" customWidth="1"/>
    <col min="16" max="16" width="26" customWidth="1"/>
    <col min="17" max="17" width="21" customWidth="1"/>
    <col min="18" max="18" width="26" customWidth="1"/>
    <col min="19" max="19" width="41" customWidth="1"/>
    <col min="20" max="20" width="27" customWidth="1"/>
    <col min="21" max="21" width="17" customWidth="1"/>
    <col min="22" max="22" width="15" customWidth="1"/>
  </cols>
  <sheetData>
    <row r="1" spans="1:2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9</v>
      </c>
    </row>
    <row r="2" spans="1:22" ht="15.6" x14ac:dyDescent="0.3">
      <c r="A2" s="2" t="s">
        <v>19</v>
      </c>
      <c r="B2" s="2" t="s">
        <v>20</v>
      </c>
      <c r="C2" s="2" t="s">
        <v>21</v>
      </c>
      <c r="D2" s="3">
        <v>1</v>
      </c>
      <c r="E2" s="4"/>
      <c r="F2" s="2" t="s">
        <v>22</v>
      </c>
      <c r="G2" s="2" t="s">
        <v>23</v>
      </c>
      <c r="H2" s="5" t="s">
        <v>24</v>
      </c>
      <c r="I2" s="2" t="s">
        <v>25</v>
      </c>
      <c r="J2" s="2" t="str">
        <f>_xlfn.XLOOKUP(B2,'[1]Snow Pre-Treatment - CCC - FY26'!$C:$C,'[1]Snow Pre-Treatment - CCC - FY26'!$G:$G)</f>
        <v>CSPT - 230126-30674</v>
      </c>
      <c r="K2" s="2"/>
      <c r="L2" s="2" t="s">
        <v>26</v>
      </c>
      <c r="M2" s="2" t="s">
        <v>27</v>
      </c>
      <c r="N2" s="2" t="s">
        <v>27</v>
      </c>
      <c r="O2" s="2" t="s">
        <v>28</v>
      </c>
      <c r="P2" s="2" t="s">
        <v>27</v>
      </c>
      <c r="Q2" s="2" t="s">
        <v>27</v>
      </c>
      <c r="R2" s="2" t="s">
        <v>27</v>
      </c>
      <c r="S2" s="2" t="s">
        <v>27</v>
      </c>
      <c r="T2" s="3">
        <v>1</v>
      </c>
      <c r="U2" s="2" t="s">
        <v>29</v>
      </c>
      <c r="V2" s="2" t="s">
        <v>26</v>
      </c>
    </row>
    <row r="3" spans="1:22" ht="15.6" x14ac:dyDescent="0.3">
      <c r="A3" s="2" t="s">
        <v>30</v>
      </c>
      <c r="B3" s="2" t="s">
        <v>31</v>
      </c>
      <c r="C3" s="2" t="s">
        <v>21</v>
      </c>
      <c r="D3" s="3">
        <v>1</v>
      </c>
      <c r="E3" s="4"/>
      <c r="F3" s="2" t="s">
        <v>22</v>
      </c>
      <c r="G3" s="2" t="s">
        <v>23</v>
      </c>
      <c r="H3" s="5" t="s">
        <v>24</v>
      </c>
      <c r="I3" s="2" t="s">
        <v>32</v>
      </c>
      <c r="J3" s="2" t="str">
        <f>_xlfn.XLOOKUP(B3,'[1]Snow Pre-Treatment - CCC - FY26'!$C:$C,'[1]Snow Pre-Treatment - CCC - FY26'!$G:$G)</f>
        <v>CSPT - 230126-30708</v>
      </c>
      <c r="K3" s="2"/>
      <c r="L3" s="2" t="s">
        <v>26</v>
      </c>
      <c r="M3" s="2" t="s">
        <v>27</v>
      </c>
      <c r="N3" s="2" t="s">
        <v>27</v>
      </c>
      <c r="O3" s="2" t="s">
        <v>28</v>
      </c>
      <c r="P3" s="2" t="s">
        <v>27</v>
      </c>
      <c r="Q3" s="2" t="s">
        <v>27</v>
      </c>
      <c r="R3" s="2" t="s">
        <v>27</v>
      </c>
      <c r="S3" s="2" t="s">
        <v>27</v>
      </c>
      <c r="T3" s="3">
        <v>1</v>
      </c>
      <c r="U3" s="2" t="s">
        <v>29</v>
      </c>
      <c r="V3" s="2" t="s">
        <v>26</v>
      </c>
    </row>
    <row r="4" spans="1:22" ht="15.6" x14ac:dyDescent="0.3">
      <c r="A4" s="2" t="s">
        <v>33</v>
      </c>
      <c r="B4" s="2" t="s">
        <v>34</v>
      </c>
      <c r="C4" s="2" t="s">
        <v>21</v>
      </c>
      <c r="D4" s="3">
        <v>1</v>
      </c>
      <c r="E4" s="4"/>
      <c r="F4" s="2" t="s">
        <v>22</v>
      </c>
      <c r="G4" s="2" t="s">
        <v>23</v>
      </c>
      <c r="H4" s="5" t="s">
        <v>35</v>
      </c>
      <c r="I4" s="2" t="s">
        <v>36</v>
      </c>
      <c r="J4" s="2" t="str">
        <f>_xlfn.XLOOKUP(B4,'[1]Snow Pre-Treatment - CCC - FY26'!$C:$C,'[1]Snow Pre-Treatment - CCC - FY26'!$G:$G)</f>
        <v>CSPT - 230126-30523</v>
      </c>
      <c r="K4" s="2"/>
      <c r="L4" s="2" t="s">
        <v>37</v>
      </c>
      <c r="M4" s="2" t="s">
        <v>27</v>
      </c>
      <c r="N4" s="2" t="s">
        <v>27</v>
      </c>
      <c r="O4" s="2" t="s">
        <v>28</v>
      </c>
      <c r="P4" s="2" t="s">
        <v>27</v>
      </c>
      <c r="Q4" s="2" t="s">
        <v>27</v>
      </c>
      <c r="R4" s="2" t="s">
        <v>27</v>
      </c>
      <c r="S4" s="2" t="s">
        <v>27</v>
      </c>
      <c r="T4" s="3">
        <v>1</v>
      </c>
      <c r="U4" s="2" t="s">
        <v>38</v>
      </c>
      <c r="V4" s="2" t="s">
        <v>37</v>
      </c>
    </row>
    <row r="5" spans="1:22" ht="15.6" x14ac:dyDescent="0.3">
      <c r="A5" s="2" t="s">
        <v>39</v>
      </c>
      <c r="B5" s="2" t="s">
        <v>39</v>
      </c>
      <c r="C5" s="2" t="s">
        <v>21</v>
      </c>
      <c r="D5" s="3">
        <v>1</v>
      </c>
      <c r="E5" s="4"/>
      <c r="F5" s="2" t="s">
        <v>22</v>
      </c>
      <c r="G5" s="2" t="s">
        <v>23</v>
      </c>
      <c r="H5" s="5" t="s">
        <v>40</v>
      </c>
      <c r="I5" s="2" t="s">
        <v>41</v>
      </c>
      <c r="J5" s="2" t="str">
        <f>_xlfn.XLOOKUP(B5,'[1]Snow Pre-Treatment - CCC - FY26'!$C:$C,'[1]Snow Pre-Treatment - CCC - FY26'!$G:$G)</f>
        <v>CSPT - 230126-30535</v>
      </c>
      <c r="K5" s="2"/>
      <c r="L5" s="2" t="s">
        <v>21</v>
      </c>
      <c r="M5" s="2" t="s">
        <v>27</v>
      </c>
      <c r="N5" s="2" t="s">
        <v>27</v>
      </c>
      <c r="O5" s="2" t="s">
        <v>28</v>
      </c>
      <c r="P5" s="2" t="s">
        <v>27</v>
      </c>
      <c r="Q5" s="2" t="s">
        <v>27</v>
      </c>
      <c r="R5" s="2" t="s">
        <v>27</v>
      </c>
      <c r="S5" s="2" t="s">
        <v>27</v>
      </c>
      <c r="T5" s="3">
        <v>1</v>
      </c>
      <c r="U5" s="2" t="s">
        <v>38</v>
      </c>
      <c r="V5" s="2" t="s">
        <v>21</v>
      </c>
    </row>
    <row r="6" spans="1:22" ht="15.6" x14ac:dyDescent="0.3">
      <c r="A6" s="2" t="s">
        <v>42</v>
      </c>
      <c r="B6" s="2" t="s">
        <v>43</v>
      </c>
      <c r="C6" s="2" t="s">
        <v>21</v>
      </c>
      <c r="D6" s="3">
        <v>1</v>
      </c>
      <c r="E6" s="4"/>
      <c r="F6" s="2" t="s">
        <v>22</v>
      </c>
      <c r="G6" s="2" t="s">
        <v>23</v>
      </c>
      <c r="H6" s="5" t="s">
        <v>44</v>
      </c>
      <c r="I6" s="2" t="s">
        <v>45</v>
      </c>
      <c r="J6" s="2" t="str">
        <f>_xlfn.XLOOKUP(B6,'[1]Snow Pre-Treatment - CCC - FY26'!$C:$C,'[1]Snow Pre-Treatment - CCC - FY26'!$G:$G)</f>
        <v>CSPT - 230126-30767</v>
      </c>
      <c r="K6" s="2"/>
      <c r="L6" s="2" t="s">
        <v>21</v>
      </c>
      <c r="M6" s="2" t="s">
        <v>27</v>
      </c>
      <c r="N6" s="2" t="s">
        <v>28</v>
      </c>
      <c r="O6" s="2" t="s">
        <v>28</v>
      </c>
      <c r="P6" s="2" t="s">
        <v>27</v>
      </c>
      <c r="Q6" s="2" t="s">
        <v>27</v>
      </c>
      <c r="R6" s="2" t="s">
        <v>27</v>
      </c>
      <c r="S6" s="2" t="s">
        <v>27</v>
      </c>
      <c r="T6" s="3">
        <v>1</v>
      </c>
      <c r="U6" s="2" t="s">
        <v>46</v>
      </c>
      <c r="V6" s="2" t="s">
        <v>21</v>
      </c>
    </row>
    <row r="7" spans="1:22" ht="15.6" x14ac:dyDescent="0.3">
      <c r="A7" s="2" t="s">
        <v>47</v>
      </c>
      <c r="B7" s="2" t="s">
        <v>48</v>
      </c>
      <c r="C7" s="2" t="s">
        <v>21</v>
      </c>
      <c r="D7" s="3">
        <v>1</v>
      </c>
      <c r="E7" s="4"/>
      <c r="F7" s="2" t="s">
        <v>22</v>
      </c>
      <c r="G7" s="2" t="s">
        <v>23</v>
      </c>
      <c r="H7" s="5" t="s">
        <v>49</v>
      </c>
      <c r="I7" s="2" t="s">
        <v>50</v>
      </c>
      <c r="J7" s="2" t="str">
        <f>_xlfn.XLOOKUP(B7,'[1]Snow Pre-Treatment - CCC - FY26'!$C:$C,'[1]Snow Pre-Treatment - CCC - FY26'!$G:$G)</f>
        <v>CSPT - 230126-30595</v>
      </c>
      <c r="K7" s="2"/>
      <c r="L7" s="2" t="s">
        <v>21</v>
      </c>
      <c r="M7" s="2" t="s">
        <v>27</v>
      </c>
      <c r="N7" s="2" t="s">
        <v>28</v>
      </c>
      <c r="O7" s="2" t="s">
        <v>28</v>
      </c>
      <c r="P7" s="2" t="s">
        <v>27</v>
      </c>
      <c r="Q7" s="2" t="s">
        <v>27</v>
      </c>
      <c r="R7" s="2" t="s">
        <v>27</v>
      </c>
      <c r="S7" s="2" t="s">
        <v>27</v>
      </c>
      <c r="T7" s="3">
        <v>1</v>
      </c>
      <c r="U7" s="2" t="s">
        <v>46</v>
      </c>
      <c r="V7" s="2" t="s">
        <v>21</v>
      </c>
    </row>
    <row r="8" spans="1:22" ht="15.6" x14ac:dyDescent="0.3">
      <c r="A8" s="2" t="s">
        <v>51</v>
      </c>
      <c r="B8" s="2" t="s">
        <v>52</v>
      </c>
      <c r="C8" s="2" t="s">
        <v>21</v>
      </c>
      <c r="D8" s="3">
        <v>1</v>
      </c>
      <c r="E8" s="4"/>
      <c r="F8" s="2" t="s">
        <v>22</v>
      </c>
      <c r="G8" s="2" t="s">
        <v>23</v>
      </c>
      <c r="H8" s="5" t="s">
        <v>53</v>
      </c>
      <c r="I8" s="2" t="s">
        <v>54</v>
      </c>
      <c r="J8" s="2" t="str">
        <f>_xlfn.XLOOKUP(B8,'[1]Snow Pre-Treatment - CCC - FY26'!$C:$C,'[1]Snow Pre-Treatment - CCC - FY26'!$G:$G)</f>
        <v>CSPT - 230126-30598</v>
      </c>
      <c r="K8" s="2"/>
      <c r="L8" s="2" t="s">
        <v>21</v>
      </c>
      <c r="M8" s="2" t="s">
        <v>27</v>
      </c>
      <c r="N8" s="2" t="s">
        <v>28</v>
      </c>
      <c r="O8" s="2" t="s">
        <v>28</v>
      </c>
      <c r="P8" s="2" t="s">
        <v>27</v>
      </c>
      <c r="Q8" s="2" t="s">
        <v>27</v>
      </c>
      <c r="R8" s="2" t="s">
        <v>27</v>
      </c>
      <c r="S8" s="2" t="s">
        <v>27</v>
      </c>
      <c r="T8" s="3">
        <v>1</v>
      </c>
      <c r="U8" s="2" t="s">
        <v>46</v>
      </c>
      <c r="V8" s="2" t="s">
        <v>21</v>
      </c>
    </row>
    <row r="9" spans="1:22" ht="15.6" x14ac:dyDescent="0.3">
      <c r="A9" s="2" t="s">
        <v>55</v>
      </c>
      <c r="B9" s="2" t="s">
        <v>56</v>
      </c>
      <c r="C9" s="2" t="s">
        <v>21</v>
      </c>
      <c r="D9" s="3">
        <v>1</v>
      </c>
      <c r="E9" s="4"/>
      <c r="F9" s="2" t="s">
        <v>22</v>
      </c>
      <c r="G9" s="2" t="s">
        <v>23</v>
      </c>
      <c r="H9" s="5" t="s">
        <v>57</v>
      </c>
      <c r="I9" s="2" t="s">
        <v>58</v>
      </c>
      <c r="J9" s="2" t="str">
        <f>_xlfn.XLOOKUP(B9,'[1]Snow Pre-Treatment - CCC - FY26'!$C:$C,'[1]Snow Pre-Treatment - CCC - FY26'!$G:$G)</f>
        <v>CSPT - 230126-30610</v>
      </c>
      <c r="K9" s="2"/>
      <c r="L9" s="2" t="s">
        <v>21</v>
      </c>
      <c r="M9" s="2" t="s">
        <v>27</v>
      </c>
      <c r="N9" s="2" t="s">
        <v>28</v>
      </c>
      <c r="O9" s="2" t="s">
        <v>28</v>
      </c>
      <c r="P9" s="2" t="s">
        <v>27</v>
      </c>
      <c r="Q9" s="2" t="s">
        <v>27</v>
      </c>
      <c r="R9" s="2" t="s">
        <v>27</v>
      </c>
      <c r="S9" s="2" t="s">
        <v>27</v>
      </c>
      <c r="T9" s="3">
        <v>1</v>
      </c>
      <c r="U9" s="2" t="s">
        <v>46</v>
      </c>
      <c r="V9" s="2" t="s">
        <v>21</v>
      </c>
    </row>
    <row r="10" spans="1:22" ht="15.6" x14ac:dyDescent="0.3">
      <c r="A10" s="2" t="s">
        <v>59</v>
      </c>
      <c r="B10" s="2" t="s">
        <v>60</v>
      </c>
      <c r="C10" s="2" t="s">
        <v>21</v>
      </c>
      <c r="D10" s="3">
        <v>1</v>
      </c>
      <c r="E10" s="4"/>
      <c r="F10" s="2" t="s">
        <v>22</v>
      </c>
      <c r="G10" s="2" t="s">
        <v>23</v>
      </c>
      <c r="H10" s="5" t="s">
        <v>57</v>
      </c>
      <c r="I10" s="2" t="s">
        <v>61</v>
      </c>
      <c r="J10" s="2" t="str">
        <f>_xlfn.XLOOKUP(B10,'[1]Snow Pre-Treatment - CCC - FY26'!$C:$C,'[1]Snow Pre-Treatment - CCC - FY26'!$G:$G)</f>
        <v>CSPT - 230126-30602</v>
      </c>
      <c r="K10" s="2"/>
      <c r="L10" s="2" t="s">
        <v>21</v>
      </c>
      <c r="M10" s="2" t="s">
        <v>27</v>
      </c>
      <c r="N10" s="2" t="s">
        <v>28</v>
      </c>
      <c r="O10" s="2" t="s">
        <v>28</v>
      </c>
      <c r="P10" s="2" t="s">
        <v>27</v>
      </c>
      <c r="Q10" s="2" t="s">
        <v>27</v>
      </c>
      <c r="R10" s="2" t="s">
        <v>27</v>
      </c>
      <c r="S10" s="2" t="s">
        <v>27</v>
      </c>
      <c r="T10" s="3">
        <v>1</v>
      </c>
      <c r="U10" s="2" t="s">
        <v>46</v>
      </c>
      <c r="V10" s="2" t="s">
        <v>21</v>
      </c>
    </row>
    <row r="11" spans="1:22" ht="15.6" x14ac:dyDescent="0.3">
      <c r="A11" s="2" t="s">
        <v>62</v>
      </c>
      <c r="B11" s="2" t="s">
        <v>63</v>
      </c>
      <c r="C11" s="2" t="s">
        <v>21</v>
      </c>
      <c r="D11" s="3">
        <v>1</v>
      </c>
      <c r="E11" s="4"/>
      <c r="F11" s="2" t="s">
        <v>22</v>
      </c>
      <c r="G11" s="2" t="s">
        <v>23</v>
      </c>
      <c r="H11" s="5" t="s">
        <v>64</v>
      </c>
      <c r="I11" s="2" t="s">
        <v>65</v>
      </c>
      <c r="J11" s="2" t="str">
        <f>_xlfn.XLOOKUP(B11,'[1]Snow Pre-Treatment - CCC - FY26'!$C:$C,'[1]Snow Pre-Treatment - CCC - FY26'!$G:$G)</f>
        <v>CSPT - 230126-30605</v>
      </c>
      <c r="K11" s="2"/>
      <c r="L11" s="2" t="s">
        <v>21</v>
      </c>
      <c r="M11" s="2" t="s">
        <v>27</v>
      </c>
      <c r="N11" s="2" t="s">
        <v>28</v>
      </c>
      <c r="O11" s="2" t="s">
        <v>28</v>
      </c>
      <c r="P11" s="2" t="s">
        <v>27</v>
      </c>
      <c r="Q11" s="2" t="s">
        <v>27</v>
      </c>
      <c r="R11" s="2" t="s">
        <v>27</v>
      </c>
      <c r="S11" s="2" t="s">
        <v>27</v>
      </c>
      <c r="T11" s="3">
        <v>1</v>
      </c>
      <c r="U11" s="2" t="s">
        <v>46</v>
      </c>
      <c r="V11" s="2" t="s">
        <v>21</v>
      </c>
    </row>
    <row r="12" spans="1:22" ht="15.6" x14ac:dyDescent="0.3">
      <c r="A12" s="2" t="s">
        <v>66</v>
      </c>
      <c r="B12" s="2" t="s">
        <v>67</v>
      </c>
      <c r="C12" s="2" t="s">
        <v>21</v>
      </c>
      <c r="D12" s="3">
        <v>1</v>
      </c>
      <c r="E12" s="4"/>
      <c r="F12" s="2" t="s">
        <v>22</v>
      </c>
      <c r="G12" s="2" t="s">
        <v>23</v>
      </c>
      <c r="H12" s="5" t="s">
        <v>64</v>
      </c>
      <c r="I12" s="2" t="s">
        <v>68</v>
      </c>
      <c r="J12" s="2" t="str">
        <f>_xlfn.XLOOKUP(B12,'[1]Snow Pre-Treatment - CCC - FY26'!$C:$C,'[1]Snow Pre-Treatment - CCC - FY26'!$G:$G)</f>
        <v>CSPT - 230126-30743</v>
      </c>
      <c r="K12" s="2"/>
      <c r="L12" s="2" t="s">
        <v>21</v>
      </c>
      <c r="M12" s="2" t="s">
        <v>27</v>
      </c>
      <c r="N12" s="2" t="s">
        <v>28</v>
      </c>
      <c r="O12" s="2" t="s">
        <v>28</v>
      </c>
      <c r="P12" s="2" t="s">
        <v>27</v>
      </c>
      <c r="Q12" s="2" t="s">
        <v>27</v>
      </c>
      <c r="R12" s="2" t="s">
        <v>27</v>
      </c>
      <c r="S12" s="2" t="s">
        <v>27</v>
      </c>
      <c r="T12" s="3">
        <v>1</v>
      </c>
      <c r="U12" s="2" t="s">
        <v>46</v>
      </c>
      <c r="V12" s="2" t="s">
        <v>21</v>
      </c>
    </row>
    <row r="13" spans="1:22" ht="15.6" x14ac:dyDescent="0.3">
      <c r="A13" s="2" t="s">
        <v>69</v>
      </c>
      <c r="B13" s="2" t="s">
        <v>70</v>
      </c>
      <c r="C13" s="2" t="s">
        <v>21</v>
      </c>
      <c r="D13" s="3">
        <v>1</v>
      </c>
      <c r="E13" s="4"/>
      <c r="F13" s="2" t="s">
        <v>22</v>
      </c>
      <c r="G13" s="2" t="s">
        <v>23</v>
      </c>
      <c r="H13" s="5" t="s">
        <v>71</v>
      </c>
      <c r="I13" s="2" t="s">
        <v>72</v>
      </c>
      <c r="J13" s="2" t="str">
        <f>_xlfn.XLOOKUP(B13,'[1]Snow Pre-Treatment - CCC - FY26'!$C:$C,'[1]Snow Pre-Treatment - CCC - FY26'!$G:$G)</f>
        <v>CSPT - 230126-30608</v>
      </c>
      <c r="K13" s="2"/>
      <c r="L13" s="2" t="s">
        <v>21</v>
      </c>
      <c r="M13" s="2" t="s">
        <v>27</v>
      </c>
      <c r="N13" s="2" t="s">
        <v>28</v>
      </c>
      <c r="O13" s="2" t="s">
        <v>28</v>
      </c>
      <c r="P13" s="2" t="s">
        <v>27</v>
      </c>
      <c r="Q13" s="2" t="s">
        <v>27</v>
      </c>
      <c r="R13" s="2" t="s">
        <v>27</v>
      </c>
      <c r="S13" s="2" t="s">
        <v>27</v>
      </c>
      <c r="T13" s="3">
        <v>1</v>
      </c>
      <c r="U13" s="2" t="s">
        <v>46</v>
      </c>
      <c r="V13" s="2" t="s">
        <v>21</v>
      </c>
    </row>
    <row r="14" spans="1:22" ht="15.6" x14ac:dyDescent="0.3">
      <c r="A14" s="2" t="s">
        <v>73</v>
      </c>
      <c r="B14" s="2" t="s">
        <v>74</v>
      </c>
      <c r="C14" s="2" t="s">
        <v>21</v>
      </c>
      <c r="D14" s="3">
        <v>1</v>
      </c>
      <c r="E14" s="4"/>
      <c r="F14" s="2" t="s">
        <v>22</v>
      </c>
      <c r="G14" s="2" t="s">
        <v>23</v>
      </c>
      <c r="H14" s="5" t="s">
        <v>75</v>
      </c>
      <c r="I14" s="2" t="s">
        <v>76</v>
      </c>
      <c r="J14" s="2" t="str">
        <f>_xlfn.XLOOKUP(B14,'[1]Snow Pre-Treatment - CCC - FY26'!$C:$C,'[1]Snow Pre-Treatment - CCC - FY26'!$G:$G)</f>
        <v>CSPT - 230126-30628</v>
      </c>
      <c r="K14" s="2"/>
      <c r="L14" s="2" t="s">
        <v>21</v>
      </c>
      <c r="M14" s="2" t="s">
        <v>27</v>
      </c>
      <c r="N14" s="2" t="s">
        <v>28</v>
      </c>
      <c r="O14" s="2" t="s">
        <v>28</v>
      </c>
      <c r="P14" s="2" t="s">
        <v>27</v>
      </c>
      <c r="Q14" s="2" t="s">
        <v>27</v>
      </c>
      <c r="R14" s="2" t="s">
        <v>27</v>
      </c>
      <c r="S14" s="2" t="s">
        <v>27</v>
      </c>
      <c r="T14" s="3">
        <v>1</v>
      </c>
      <c r="U14" s="2" t="s">
        <v>46</v>
      </c>
      <c r="V14" s="2" t="s">
        <v>21</v>
      </c>
    </row>
    <row r="15" spans="1:22" ht="15.6" x14ac:dyDescent="0.3">
      <c r="A15" s="2" t="s">
        <v>77</v>
      </c>
      <c r="B15" s="2" t="s">
        <v>78</v>
      </c>
      <c r="C15" s="2" t="s">
        <v>21</v>
      </c>
      <c r="D15" s="3">
        <v>1</v>
      </c>
      <c r="E15" s="4"/>
      <c r="F15" s="2" t="s">
        <v>22</v>
      </c>
      <c r="G15" s="2" t="s">
        <v>23</v>
      </c>
      <c r="H15" s="5" t="s">
        <v>79</v>
      </c>
      <c r="I15" s="2" t="s">
        <v>80</v>
      </c>
      <c r="J15" s="2" t="str">
        <f>_xlfn.XLOOKUP(B15,'[1]Snow Pre-Treatment - CCC - FY26'!$C:$C,'[1]Snow Pre-Treatment - CCC - FY26'!$G:$G)</f>
        <v>CSPT - 230126-30629</v>
      </c>
      <c r="K15" s="2"/>
      <c r="L15" s="2" t="s">
        <v>21</v>
      </c>
      <c r="M15" s="2" t="s">
        <v>27</v>
      </c>
      <c r="N15" s="2" t="s">
        <v>28</v>
      </c>
      <c r="O15" s="2" t="s">
        <v>28</v>
      </c>
      <c r="P15" s="2" t="s">
        <v>27</v>
      </c>
      <c r="Q15" s="2" t="s">
        <v>27</v>
      </c>
      <c r="R15" s="2" t="s">
        <v>27</v>
      </c>
      <c r="S15" s="2" t="s">
        <v>27</v>
      </c>
      <c r="T15" s="3">
        <v>1</v>
      </c>
      <c r="U15" s="2" t="s">
        <v>46</v>
      </c>
      <c r="V15" s="2" t="s">
        <v>21</v>
      </c>
    </row>
    <row r="16" spans="1:22" ht="15.6" x14ac:dyDescent="0.3">
      <c r="A16" s="2" t="s">
        <v>81</v>
      </c>
      <c r="B16" s="2" t="s">
        <v>82</v>
      </c>
      <c r="C16" s="2" t="s">
        <v>21</v>
      </c>
      <c r="D16" s="3">
        <v>1</v>
      </c>
      <c r="E16" s="4"/>
      <c r="F16" s="2" t="s">
        <v>22</v>
      </c>
      <c r="G16" s="2" t="s">
        <v>23</v>
      </c>
      <c r="H16" s="5" t="s">
        <v>83</v>
      </c>
      <c r="I16" s="2" t="s">
        <v>84</v>
      </c>
      <c r="J16" s="2" t="str">
        <f>_xlfn.XLOOKUP(B16,'[1]Snow Pre-Treatment - CCC - FY26'!$C:$C,'[1]Snow Pre-Treatment - CCC - FY26'!$G:$G)</f>
        <v>CSPT - 230126-30714</v>
      </c>
      <c r="K16" s="2"/>
      <c r="L16" s="2" t="s">
        <v>21</v>
      </c>
      <c r="M16" s="2" t="s">
        <v>27</v>
      </c>
      <c r="N16" s="2" t="s">
        <v>28</v>
      </c>
      <c r="O16" s="2" t="s">
        <v>28</v>
      </c>
      <c r="P16" s="2" t="s">
        <v>27</v>
      </c>
      <c r="Q16" s="2" t="s">
        <v>27</v>
      </c>
      <c r="R16" s="2" t="s">
        <v>27</v>
      </c>
      <c r="S16" s="2" t="s">
        <v>27</v>
      </c>
      <c r="T16" s="3">
        <v>1</v>
      </c>
      <c r="U16" s="2" t="s">
        <v>46</v>
      </c>
      <c r="V16" s="2" t="s">
        <v>21</v>
      </c>
    </row>
    <row r="17" spans="1:22" ht="15.6" x14ac:dyDescent="0.3">
      <c r="A17" s="2" t="s">
        <v>85</v>
      </c>
      <c r="B17" s="2" t="s">
        <v>86</v>
      </c>
      <c r="C17" s="2" t="s">
        <v>21</v>
      </c>
      <c r="D17" s="3">
        <v>1</v>
      </c>
      <c r="E17" s="4"/>
      <c r="F17" s="2" t="s">
        <v>22</v>
      </c>
      <c r="G17" s="2" t="s">
        <v>23</v>
      </c>
      <c r="H17" s="5" t="s">
        <v>87</v>
      </c>
      <c r="I17" s="2" t="s">
        <v>88</v>
      </c>
      <c r="J17" s="2" t="str">
        <f>_xlfn.XLOOKUP(B17,'[1]Snow Pre-Treatment - CCC - FY26'!$C:$C,'[1]Snow Pre-Treatment - CCC - FY26'!$G:$G)</f>
        <v>CSPT - 230126-30555</v>
      </c>
      <c r="K17" s="2"/>
      <c r="L17" s="2" t="s">
        <v>37</v>
      </c>
      <c r="M17" s="2" t="s">
        <v>27</v>
      </c>
      <c r="N17" s="2" t="s">
        <v>27</v>
      </c>
      <c r="O17" s="2" t="s">
        <v>28</v>
      </c>
      <c r="P17" s="2" t="s">
        <v>27</v>
      </c>
      <c r="Q17" s="2" t="s">
        <v>27</v>
      </c>
      <c r="R17" s="2" t="s">
        <v>27</v>
      </c>
      <c r="S17" s="2" t="s">
        <v>27</v>
      </c>
      <c r="T17" s="3">
        <v>1</v>
      </c>
      <c r="U17" s="2" t="s">
        <v>29</v>
      </c>
      <c r="V17" s="2" t="s">
        <v>37</v>
      </c>
    </row>
    <row r="18" spans="1:22" ht="15.6" x14ac:dyDescent="0.3">
      <c r="A18" s="2" t="s">
        <v>89</v>
      </c>
      <c r="B18" s="2" t="s">
        <v>90</v>
      </c>
      <c r="C18" s="2" t="s">
        <v>21</v>
      </c>
      <c r="D18" s="3">
        <v>1</v>
      </c>
      <c r="E18" s="4"/>
      <c r="F18" s="2" t="s">
        <v>22</v>
      </c>
      <c r="G18" s="2" t="s">
        <v>23</v>
      </c>
      <c r="H18" s="5" t="s">
        <v>24</v>
      </c>
      <c r="I18" s="2" t="s">
        <v>91</v>
      </c>
      <c r="J18" s="2" t="str">
        <f>_xlfn.XLOOKUP(B18,'[1]Snow Pre-Treatment - CCC - FY26'!$C:$C,'[1]Snow Pre-Treatment - CCC - FY26'!$G:$G)</f>
        <v>CSPT - 230126-30676</v>
      </c>
      <c r="K18" s="2"/>
      <c r="L18" s="2" t="s">
        <v>26</v>
      </c>
      <c r="M18" s="2" t="s">
        <v>27</v>
      </c>
      <c r="N18" s="2" t="s">
        <v>28</v>
      </c>
      <c r="O18" s="2" t="s">
        <v>28</v>
      </c>
      <c r="P18" s="2" t="s">
        <v>27</v>
      </c>
      <c r="Q18" s="2" t="s">
        <v>27</v>
      </c>
      <c r="R18" s="2" t="s">
        <v>27</v>
      </c>
      <c r="S18" s="2" t="s">
        <v>27</v>
      </c>
      <c r="T18" s="3">
        <v>1</v>
      </c>
      <c r="U18" s="2" t="s">
        <v>29</v>
      </c>
      <c r="V18" s="2" t="s">
        <v>26</v>
      </c>
    </row>
    <row r="19" spans="1:22" ht="15.6" x14ac:dyDescent="0.3">
      <c r="A19" s="2" t="s">
        <v>92</v>
      </c>
      <c r="B19" s="2" t="s">
        <v>93</v>
      </c>
      <c r="C19" s="2" t="s">
        <v>21</v>
      </c>
      <c r="D19" s="3">
        <v>1</v>
      </c>
      <c r="E19" s="4"/>
      <c r="F19" s="2" t="s">
        <v>22</v>
      </c>
      <c r="G19" s="2" t="s">
        <v>23</v>
      </c>
      <c r="H19" s="5" t="s">
        <v>94</v>
      </c>
      <c r="I19" s="2" t="s">
        <v>95</v>
      </c>
      <c r="J19" s="2" t="str">
        <f>_xlfn.XLOOKUP(B19,'[1]Snow Pre-Treatment - CCC - FY26'!$C:$C,'[1]Snow Pre-Treatment - CCC - FY26'!$G:$G)</f>
        <v>CSPT - 230126-30673</v>
      </c>
      <c r="K19" s="2"/>
      <c r="L19" s="2" t="s">
        <v>26</v>
      </c>
      <c r="M19" s="2" t="s">
        <v>27</v>
      </c>
      <c r="N19" s="2" t="s">
        <v>27</v>
      </c>
      <c r="O19" s="2" t="s">
        <v>28</v>
      </c>
      <c r="P19" s="2" t="s">
        <v>27</v>
      </c>
      <c r="Q19" s="2" t="s">
        <v>27</v>
      </c>
      <c r="R19" s="2" t="s">
        <v>27</v>
      </c>
      <c r="S19" s="2" t="s">
        <v>27</v>
      </c>
      <c r="T19" s="3">
        <v>1</v>
      </c>
      <c r="U19" s="2" t="s">
        <v>29</v>
      </c>
      <c r="V19" s="2" t="s">
        <v>26</v>
      </c>
    </row>
    <row r="20" spans="1:22" ht="15.6" x14ac:dyDescent="0.3">
      <c r="A20" s="2" t="s">
        <v>96</v>
      </c>
      <c r="B20" s="2" t="s">
        <v>97</v>
      </c>
      <c r="C20" s="2" t="s">
        <v>21</v>
      </c>
      <c r="D20" s="3">
        <v>1</v>
      </c>
      <c r="E20" s="4"/>
      <c r="F20" s="2" t="s">
        <v>22</v>
      </c>
      <c r="G20" s="2" t="s">
        <v>23</v>
      </c>
      <c r="H20" s="5" t="s">
        <v>94</v>
      </c>
      <c r="I20" s="2" t="s">
        <v>98</v>
      </c>
      <c r="J20" s="2" t="str">
        <f>_xlfn.XLOOKUP(B20,'[1]Snow Pre-Treatment - CCC - FY26'!$C:$C,'[1]Snow Pre-Treatment - CCC - FY26'!$G:$G)</f>
        <v>CSPT - 230126-30667</v>
      </c>
      <c r="K20" s="2"/>
      <c r="L20" s="2" t="s">
        <v>26</v>
      </c>
      <c r="M20" s="2" t="s">
        <v>27</v>
      </c>
      <c r="N20" s="2" t="s">
        <v>27</v>
      </c>
      <c r="O20" s="2" t="s">
        <v>28</v>
      </c>
      <c r="P20" s="2" t="s">
        <v>27</v>
      </c>
      <c r="Q20" s="2" t="s">
        <v>27</v>
      </c>
      <c r="R20" s="2" t="s">
        <v>27</v>
      </c>
      <c r="S20" s="2" t="s">
        <v>27</v>
      </c>
      <c r="T20" s="3">
        <v>1</v>
      </c>
      <c r="U20" s="2" t="s">
        <v>29</v>
      </c>
      <c r="V20" s="2" t="s">
        <v>26</v>
      </c>
    </row>
    <row r="21" spans="1:22" ht="15.6" x14ac:dyDescent="0.3">
      <c r="A21" s="2" t="s">
        <v>99</v>
      </c>
      <c r="B21" s="2" t="s">
        <v>100</v>
      </c>
      <c r="C21" s="2" t="s">
        <v>21</v>
      </c>
      <c r="D21" s="3">
        <v>1</v>
      </c>
      <c r="E21" s="4"/>
      <c r="F21" s="2" t="s">
        <v>22</v>
      </c>
      <c r="G21" s="2" t="s">
        <v>23</v>
      </c>
      <c r="H21" s="5" t="s">
        <v>101</v>
      </c>
      <c r="I21" s="2" t="s">
        <v>102</v>
      </c>
      <c r="J21" s="2" t="str">
        <f>_xlfn.XLOOKUP(B21,'[1]Snow Pre-Treatment - CCC - FY26'!$C:$C,'[1]Snow Pre-Treatment - CCC - FY26'!$G:$G)</f>
        <v>CSPT - 230126-30670</v>
      </c>
      <c r="K21" s="2"/>
      <c r="L21" s="2" t="s">
        <v>26</v>
      </c>
      <c r="M21" s="2" t="s">
        <v>27</v>
      </c>
      <c r="N21" s="2" t="s">
        <v>27</v>
      </c>
      <c r="O21" s="2" t="s">
        <v>28</v>
      </c>
      <c r="P21" s="2" t="s">
        <v>27</v>
      </c>
      <c r="Q21" s="2" t="s">
        <v>27</v>
      </c>
      <c r="R21" s="2" t="s">
        <v>27</v>
      </c>
      <c r="S21" s="2" t="s">
        <v>27</v>
      </c>
      <c r="T21" s="3">
        <v>1</v>
      </c>
      <c r="U21" s="2" t="s">
        <v>103</v>
      </c>
      <c r="V21" s="2" t="s">
        <v>26</v>
      </c>
    </row>
    <row r="22" spans="1:22" ht="15.6" x14ac:dyDescent="0.3">
      <c r="A22" s="2" t="s">
        <v>104</v>
      </c>
      <c r="B22" s="2" t="s">
        <v>105</v>
      </c>
      <c r="C22" s="2" t="s">
        <v>21</v>
      </c>
      <c r="D22" s="3">
        <v>1</v>
      </c>
      <c r="E22" s="4"/>
      <c r="F22" s="2" t="s">
        <v>22</v>
      </c>
      <c r="G22" s="2" t="s">
        <v>23</v>
      </c>
      <c r="H22" s="5" t="s">
        <v>94</v>
      </c>
      <c r="I22" s="2" t="s">
        <v>106</v>
      </c>
      <c r="J22" s="2" t="str">
        <f>_xlfn.XLOOKUP(B22,'[1]Snow Pre-Treatment - CCC - FY26'!$C:$C,'[1]Snow Pre-Treatment - CCC - FY26'!$G:$G)</f>
        <v>CSPT - 230126-30560</v>
      </c>
      <c r="K22" s="2"/>
      <c r="L22" s="2" t="s">
        <v>26</v>
      </c>
      <c r="M22" s="2" t="s">
        <v>27</v>
      </c>
      <c r="N22" s="2" t="s">
        <v>27</v>
      </c>
      <c r="O22" s="2" t="s">
        <v>28</v>
      </c>
      <c r="P22" s="2" t="s">
        <v>27</v>
      </c>
      <c r="Q22" s="2" t="s">
        <v>27</v>
      </c>
      <c r="R22" s="2" t="s">
        <v>27</v>
      </c>
      <c r="S22" s="2" t="s">
        <v>27</v>
      </c>
      <c r="T22" s="3">
        <v>1</v>
      </c>
      <c r="U22" s="2" t="s">
        <v>29</v>
      </c>
      <c r="V22" s="2" t="s">
        <v>26</v>
      </c>
    </row>
    <row r="23" spans="1:22" ht="15.6" x14ac:dyDescent="0.3">
      <c r="A23" s="2" t="s">
        <v>107</v>
      </c>
      <c r="B23" s="2" t="s">
        <v>108</v>
      </c>
      <c r="C23" s="2" t="s">
        <v>21</v>
      </c>
      <c r="D23" s="3">
        <v>1</v>
      </c>
      <c r="E23" s="4"/>
      <c r="F23" s="2" t="s">
        <v>22</v>
      </c>
      <c r="G23" s="2" t="s">
        <v>23</v>
      </c>
      <c r="H23" s="5" t="s">
        <v>109</v>
      </c>
      <c r="I23" s="2" t="s">
        <v>110</v>
      </c>
      <c r="J23" s="2" t="str">
        <f>_xlfn.XLOOKUP(B23,'[1]Snow Pre-Treatment - CCC - FY26'!$C:$C,'[1]Snow Pre-Treatment - CCC - FY26'!$G:$G)</f>
        <v>CSPT - 230126-30665</v>
      </c>
      <c r="K23" s="2"/>
      <c r="L23" s="2" t="s">
        <v>37</v>
      </c>
      <c r="M23" s="2" t="s">
        <v>27</v>
      </c>
      <c r="N23" s="2" t="s">
        <v>27</v>
      </c>
      <c r="O23" s="2" t="s">
        <v>28</v>
      </c>
      <c r="P23" s="2" t="s">
        <v>27</v>
      </c>
      <c r="Q23" s="2" t="s">
        <v>27</v>
      </c>
      <c r="R23" s="2" t="s">
        <v>27</v>
      </c>
      <c r="S23" s="2" t="s">
        <v>27</v>
      </c>
      <c r="T23" s="3">
        <v>1</v>
      </c>
      <c r="U23" s="2" t="s">
        <v>103</v>
      </c>
      <c r="V23" s="2" t="s">
        <v>37</v>
      </c>
    </row>
    <row r="24" spans="1:22" ht="15.6" x14ac:dyDescent="0.3">
      <c r="A24" s="2" t="s">
        <v>111</v>
      </c>
      <c r="B24" s="2" t="s">
        <v>112</v>
      </c>
      <c r="C24" s="2" t="s">
        <v>21</v>
      </c>
      <c r="D24" s="3">
        <v>1</v>
      </c>
      <c r="E24" s="4"/>
      <c r="F24" s="2" t="s">
        <v>22</v>
      </c>
      <c r="G24" s="2" t="s">
        <v>23</v>
      </c>
      <c r="H24" s="5" t="s">
        <v>113</v>
      </c>
      <c r="I24" s="2" t="s">
        <v>114</v>
      </c>
      <c r="J24" s="2" t="str">
        <f>_xlfn.XLOOKUP(B24,'[1]Snow Pre-Treatment - CCC - FY26'!$C:$C,'[1]Snow Pre-Treatment - CCC - FY26'!$G:$G)</f>
        <v>CSPT - 230126-30658</v>
      </c>
      <c r="K24" s="2"/>
      <c r="L24" s="2" t="s">
        <v>37</v>
      </c>
      <c r="M24" s="2" t="s">
        <v>27</v>
      </c>
      <c r="N24" s="2" t="s">
        <v>27</v>
      </c>
      <c r="O24" s="2" t="s">
        <v>28</v>
      </c>
      <c r="P24" s="2" t="s">
        <v>27</v>
      </c>
      <c r="Q24" s="2" t="s">
        <v>27</v>
      </c>
      <c r="R24" s="2" t="s">
        <v>27</v>
      </c>
      <c r="S24" s="2" t="s">
        <v>27</v>
      </c>
      <c r="T24" s="3">
        <v>1</v>
      </c>
      <c r="U24" s="2" t="s">
        <v>103</v>
      </c>
      <c r="V24" s="2" t="s">
        <v>37</v>
      </c>
    </row>
    <row r="25" spans="1:22" ht="15.6" x14ac:dyDescent="0.3">
      <c r="A25" s="2" t="s">
        <v>115</v>
      </c>
      <c r="B25" s="2" t="s">
        <v>116</v>
      </c>
      <c r="C25" s="2" t="s">
        <v>21</v>
      </c>
      <c r="D25" s="3">
        <v>1</v>
      </c>
      <c r="E25" s="4"/>
      <c r="F25" s="2" t="s">
        <v>22</v>
      </c>
      <c r="G25" s="2" t="s">
        <v>23</v>
      </c>
      <c r="H25" s="5" t="s">
        <v>109</v>
      </c>
      <c r="I25" s="2" t="s">
        <v>117</v>
      </c>
      <c r="J25" s="2" t="str">
        <f>_xlfn.XLOOKUP(B25,'[1]Snow Pre-Treatment - CCC - FY26'!$C:$C,'[1]Snow Pre-Treatment - CCC - FY26'!$G:$G)</f>
        <v>CSPT - 230126-30659</v>
      </c>
      <c r="K25" s="2"/>
      <c r="L25" s="2" t="s">
        <v>37</v>
      </c>
      <c r="M25" s="2" t="s">
        <v>27</v>
      </c>
      <c r="N25" s="2" t="s">
        <v>27</v>
      </c>
      <c r="O25" s="2" t="s">
        <v>28</v>
      </c>
      <c r="P25" s="2" t="s">
        <v>27</v>
      </c>
      <c r="Q25" s="2" t="s">
        <v>27</v>
      </c>
      <c r="R25" s="2" t="s">
        <v>27</v>
      </c>
      <c r="S25" s="2" t="s">
        <v>27</v>
      </c>
      <c r="T25" s="3">
        <v>1</v>
      </c>
      <c r="U25" s="2" t="s">
        <v>103</v>
      </c>
      <c r="V25" s="2" t="s">
        <v>37</v>
      </c>
    </row>
    <row r="26" spans="1:22" ht="15.6" x14ac:dyDescent="0.3">
      <c r="A26" s="2" t="s">
        <v>118</v>
      </c>
      <c r="B26" s="2" t="s">
        <v>119</v>
      </c>
      <c r="C26" s="2" t="s">
        <v>21</v>
      </c>
      <c r="D26" s="3">
        <v>1</v>
      </c>
      <c r="E26" s="4"/>
      <c r="F26" s="2" t="s">
        <v>22</v>
      </c>
      <c r="G26" s="2" t="s">
        <v>23</v>
      </c>
      <c r="H26" s="5" t="s">
        <v>109</v>
      </c>
      <c r="I26" s="2" t="s">
        <v>120</v>
      </c>
      <c r="J26" s="2" t="str">
        <f>_xlfn.XLOOKUP(B26,'[1]Snow Pre-Treatment - CCC - FY26'!$C:$C,'[1]Snow Pre-Treatment - CCC - FY26'!$G:$G)</f>
        <v>CSPT - 230126-30664</v>
      </c>
      <c r="K26" s="2"/>
      <c r="L26" s="2" t="s">
        <v>37</v>
      </c>
      <c r="M26" s="2" t="s">
        <v>27</v>
      </c>
      <c r="N26" s="2" t="s">
        <v>27</v>
      </c>
      <c r="O26" s="2" t="s">
        <v>28</v>
      </c>
      <c r="P26" s="2" t="s">
        <v>27</v>
      </c>
      <c r="Q26" s="2" t="s">
        <v>27</v>
      </c>
      <c r="R26" s="2" t="s">
        <v>27</v>
      </c>
      <c r="S26" s="2" t="s">
        <v>27</v>
      </c>
      <c r="T26" s="3">
        <v>1</v>
      </c>
      <c r="U26" s="2" t="s">
        <v>103</v>
      </c>
      <c r="V26" s="2" t="s">
        <v>37</v>
      </c>
    </row>
    <row r="27" spans="1:22" ht="15.6" x14ac:dyDescent="0.3">
      <c r="A27" s="2" t="s">
        <v>121</v>
      </c>
      <c r="B27" s="2" t="s">
        <v>121</v>
      </c>
      <c r="C27" s="2" t="s">
        <v>21</v>
      </c>
      <c r="D27" s="3">
        <v>1</v>
      </c>
      <c r="E27" s="4"/>
      <c r="F27" s="2" t="s">
        <v>22</v>
      </c>
      <c r="G27" s="2" t="s">
        <v>23</v>
      </c>
      <c r="H27" s="5" t="s">
        <v>109</v>
      </c>
      <c r="I27" s="2" t="s">
        <v>122</v>
      </c>
      <c r="J27" s="2" t="str">
        <f>_xlfn.XLOOKUP(B27,'[1]Snow Pre-Treatment - CCC - FY26'!$C:$C,'[1]Snow Pre-Treatment - CCC - FY26'!$G:$G)</f>
        <v>CSPT - 230126-30678</v>
      </c>
      <c r="K27" s="2"/>
      <c r="L27" s="2" t="s">
        <v>37</v>
      </c>
      <c r="M27" s="2" t="s">
        <v>27</v>
      </c>
      <c r="N27" s="2" t="s">
        <v>27</v>
      </c>
      <c r="O27" s="2" t="s">
        <v>28</v>
      </c>
      <c r="P27" s="2" t="s">
        <v>27</v>
      </c>
      <c r="Q27" s="2" t="s">
        <v>27</v>
      </c>
      <c r="R27" s="2" t="s">
        <v>27</v>
      </c>
      <c r="S27" s="2" t="s">
        <v>27</v>
      </c>
      <c r="T27" s="3">
        <v>1</v>
      </c>
      <c r="U27" s="2" t="s">
        <v>103</v>
      </c>
      <c r="V27" s="2" t="s">
        <v>37</v>
      </c>
    </row>
    <row r="28" spans="1:22" ht="15.6" x14ac:dyDescent="0.3">
      <c r="A28" s="2" t="s">
        <v>123</v>
      </c>
      <c r="B28" s="2" t="s">
        <v>124</v>
      </c>
      <c r="C28" s="2" t="s">
        <v>21</v>
      </c>
      <c r="D28" s="3">
        <v>1</v>
      </c>
      <c r="E28" s="4"/>
      <c r="F28" s="2" t="s">
        <v>22</v>
      </c>
      <c r="G28" s="2" t="s">
        <v>23</v>
      </c>
      <c r="H28" s="5" t="s">
        <v>125</v>
      </c>
      <c r="I28" s="2" t="s">
        <v>126</v>
      </c>
      <c r="J28" s="2" t="str">
        <f>_xlfn.XLOOKUP(B28,'[1]Snow Pre-Treatment - CCC - FY26'!$C:$C,'[1]Snow Pre-Treatment - CCC - FY26'!$G:$G)</f>
        <v>CSPT - 230126-30623</v>
      </c>
      <c r="K28" s="2"/>
      <c r="L28" s="2" t="s">
        <v>21</v>
      </c>
      <c r="M28" s="2" t="s">
        <v>27</v>
      </c>
      <c r="N28" s="2" t="s">
        <v>28</v>
      </c>
      <c r="O28" s="2" t="s">
        <v>28</v>
      </c>
      <c r="P28" s="2" t="s">
        <v>27</v>
      </c>
      <c r="Q28" s="2" t="s">
        <v>27</v>
      </c>
      <c r="R28" s="2" t="s">
        <v>27</v>
      </c>
      <c r="S28" s="2" t="s">
        <v>27</v>
      </c>
      <c r="T28" s="3">
        <v>1</v>
      </c>
      <c r="U28" s="2" t="s">
        <v>29</v>
      </c>
      <c r="V28" s="2" t="s">
        <v>21</v>
      </c>
    </row>
    <row r="29" spans="1:22" ht="15.6" x14ac:dyDescent="0.3">
      <c r="A29" s="2" t="s">
        <v>127</v>
      </c>
      <c r="B29" s="2" t="s">
        <v>128</v>
      </c>
      <c r="C29" s="2" t="s">
        <v>21</v>
      </c>
      <c r="D29" s="3">
        <v>1</v>
      </c>
      <c r="E29" s="4"/>
      <c r="F29" s="2" t="s">
        <v>22</v>
      </c>
      <c r="G29" s="2" t="s">
        <v>23</v>
      </c>
      <c r="H29" s="5" t="s">
        <v>125</v>
      </c>
      <c r="I29" s="2" t="s">
        <v>129</v>
      </c>
      <c r="J29" s="2" t="str">
        <f>_xlfn.XLOOKUP(B29,'[1]Snow Pre-Treatment - CCC - FY26'!$C:$C,'[1]Snow Pre-Treatment - CCC - FY26'!$G:$G)</f>
        <v>CSPT - 230126-30682</v>
      </c>
      <c r="K29" s="2"/>
      <c r="L29" s="2" t="s">
        <v>21</v>
      </c>
      <c r="M29" s="2" t="s">
        <v>27</v>
      </c>
      <c r="N29" s="2" t="s">
        <v>28</v>
      </c>
      <c r="O29" s="2" t="s">
        <v>28</v>
      </c>
      <c r="P29" s="2" t="s">
        <v>27</v>
      </c>
      <c r="Q29" s="2" t="s">
        <v>27</v>
      </c>
      <c r="R29" s="2" t="s">
        <v>27</v>
      </c>
      <c r="S29" s="2" t="s">
        <v>27</v>
      </c>
      <c r="T29" s="3">
        <v>1</v>
      </c>
      <c r="U29" s="2" t="s">
        <v>29</v>
      </c>
      <c r="V29" s="2" t="s">
        <v>21</v>
      </c>
    </row>
    <row r="30" spans="1:22" ht="15.6" x14ac:dyDescent="0.3">
      <c r="A30" s="2" t="s">
        <v>130</v>
      </c>
      <c r="B30" s="2" t="s">
        <v>131</v>
      </c>
      <c r="C30" s="2" t="s">
        <v>21</v>
      </c>
      <c r="D30" s="3">
        <v>1</v>
      </c>
      <c r="E30" s="4"/>
      <c r="F30" s="2" t="s">
        <v>22</v>
      </c>
      <c r="G30" s="2" t="s">
        <v>23</v>
      </c>
      <c r="H30" s="5" t="s">
        <v>125</v>
      </c>
      <c r="I30" s="2" t="s">
        <v>132</v>
      </c>
      <c r="J30" s="2" t="str">
        <f>_xlfn.XLOOKUP(B30,'[1]Snow Pre-Treatment - CCC - FY26'!$C:$C,'[1]Snow Pre-Treatment - CCC - FY26'!$G:$G)</f>
        <v>CSPT - 230126-30679</v>
      </c>
      <c r="K30" s="2"/>
      <c r="L30" s="2" t="s">
        <v>21</v>
      </c>
      <c r="M30" s="2" t="s">
        <v>27</v>
      </c>
      <c r="N30" s="2" t="s">
        <v>27</v>
      </c>
      <c r="O30" s="2" t="s">
        <v>28</v>
      </c>
      <c r="P30" s="2" t="s">
        <v>27</v>
      </c>
      <c r="Q30" s="2" t="s">
        <v>27</v>
      </c>
      <c r="R30" s="2" t="s">
        <v>27</v>
      </c>
      <c r="S30" s="2" t="s">
        <v>27</v>
      </c>
      <c r="T30" s="3">
        <v>1</v>
      </c>
      <c r="U30" s="2" t="s">
        <v>29</v>
      </c>
      <c r="V30" s="2" t="s">
        <v>21</v>
      </c>
    </row>
    <row r="31" spans="1:22" ht="15.6" x14ac:dyDescent="0.3">
      <c r="A31" s="2" t="s">
        <v>133</v>
      </c>
      <c r="B31" s="2" t="s">
        <v>134</v>
      </c>
      <c r="C31" s="2" t="s">
        <v>21</v>
      </c>
      <c r="D31" s="3">
        <v>1</v>
      </c>
      <c r="E31" s="4"/>
      <c r="F31" s="2" t="s">
        <v>22</v>
      </c>
      <c r="G31" s="2" t="s">
        <v>23</v>
      </c>
      <c r="H31" s="5" t="s">
        <v>135</v>
      </c>
      <c r="I31" s="2" t="s">
        <v>136</v>
      </c>
      <c r="J31" s="2" t="str">
        <f>_xlfn.XLOOKUP(B31,'[1]Snow Pre-Treatment - CCC - FY26'!$C:$C,'[1]Snow Pre-Treatment - CCC - FY26'!$G:$G)</f>
        <v>CSPT - 230126-30663</v>
      </c>
      <c r="K31" s="2"/>
      <c r="L31" s="2" t="s">
        <v>26</v>
      </c>
      <c r="M31" s="2" t="s">
        <v>27</v>
      </c>
      <c r="N31" s="2" t="s">
        <v>28</v>
      </c>
      <c r="O31" s="2" t="s">
        <v>28</v>
      </c>
      <c r="P31" s="2" t="s">
        <v>27</v>
      </c>
      <c r="Q31" s="2" t="s">
        <v>27</v>
      </c>
      <c r="R31" s="2" t="s">
        <v>27</v>
      </c>
      <c r="S31" s="2" t="s">
        <v>27</v>
      </c>
      <c r="T31" s="3">
        <v>1</v>
      </c>
      <c r="U31" s="2" t="s">
        <v>103</v>
      </c>
      <c r="V31" s="2" t="s">
        <v>26</v>
      </c>
    </row>
    <row r="32" spans="1:22" ht="15.6" x14ac:dyDescent="0.3">
      <c r="A32" s="2" t="s">
        <v>137</v>
      </c>
      <c r="B32" s="2" t="s">
        <v>138</v>
      </c>
      <c r="C32" s="2" t="s">
        <v>21</v>
      </c>
      <c r="D32" s="3">
        <v>1</v>
      </c>
      <c r="E32" s="4"/>
      <c r="F32" s="2" t="s">
        <v>22</v>
      </c>
      <c r="G32" s="2" t="s">
        <v>23</v>
      </c>
      <c r="H32" s="5" t="s">
        <v>101</v>
      </c>
      <c r="I32" s="2" t="s">
        <v>139</v>
      </c>
      <c r="J32" s="2" t="str">
        <f>_xlfn.XLOOKUP(B32,'[1]Snow Pre-Treatment - CCC - FY26'!$C:$C,'[1]Snow Pre-Treatment - CCC - FY26'!$G:$G)</f>
        <v>CSPT - 230126-30668</v>
      </c>
      <c r="K32" s="2"/>
      <c r="L32" s="2" t="s">
        <v>26</v>
      </c>
      <c r="M32" s="2" t="s">
        <v>27</v>
      </c>
      <c r="N32" s="2" t="s">
        <v>27</v>
      </c>
      <c r="O32" s="2" t="s">
        <v>28</v>
      </c>
      <c r="P32" s="2" t="s">
        <v>27</v>
      </c>
      <c r="Q32" s="2" t="s">
        <v>27</v>
      </c>
      <c r="R32" s="2" t="s">
        <v>27</v>
      </c>
      <c r="S32" s="2" t="s">
        <v>27</v>
      </c>
      <c r="T32" s="3">
        <v>1</v>
      </c>
      <c r="U32" s="2" t="s">
        <v>103</v>
      </c>
      <c r="V32" s="2" t="s">
        <v>26</v>
      </c>
    </row>
    <row r="33" spans="1:22" ht="15.6" x14ac:dyDescent="0.3">
      <c r="A33" s="2" t="s">
        <v>137</v>
      </c>
      <c r="B33" s="2" t="s">
        <v>140</v>
      </c>
      <c r="C33" s="2" t="s">
        <v>21</v>
      </c>
      <c r="D33" s="3">
        <v>1</v>
      </c>
      <c r="E33" s="4"/>
      <c r="F33" s="2" t="s">
        <v>22</v>
      </c>
      <c r="G33" s="2" t="s">
        <v>23</v>
      </c>
      <c r="H33" s="5" t="s">
        <v>101</v>
      </c>
      <c r="I33" s="2" t="s">
        <v>141</v>
      </c>
      <c r="J33" s="2" t="str">
        <f>_xlfn.XLOOKUP(B33,'[1]Snow Pre-Treatment - CCC - FY26'!$C:$C,'[1]Snow Pre-Treatment - CCC - FY26'!$G:$G)</f>
        <v>CSPT - 230126-30669</v>
      </c>
      <c r="K33" s="2"/>
      <c r="L33" s="2" t="s">
        <v>26</v>
      </c>
      <c r="M33" s="2" t="s">
        <v>27</v>
      </c>
      <c r="N33" s="2" t="s">
        <v>27</v>
      </c>
      <c r="O33" s="2" t="s">
        <v>28</v>
      </c>
      <c r="P33" s="2" t="s">
        <v>27</v>
      </c>
      <c r="Q33" s="2" t="s">
        <v>27</v>
      </c>
      <c r="R33" s="2" t="s">
        <v>27</v>
      </c>
      <c r="S33" s="2" t="s">
        <v>27</v>
      </c>
      <c r="T33" s="3">
        <v>1</v>
      </c>
      <c r="U33" s="2" t="s">
        <v>103</v>
      </c>
      <c r="V33" s="2" t="s">
        <v>26</v>
      </c>
    </row>
    <row r="34" spans="1:22" ht="15.6" x14ac:dyDescent="0.3">
      <c r="A34" s="2" t="s">
        <v>142</v>
      </c>
      <c r="B34" s="2" t="s">
        <v>143</v>
      </c>
      <c r="C34" s="2" t="s">
        <v>21</v>
      </c>
      <c r="D34" s="3">
        <v>1</v>
      </c>
      <c r="E34" s="4"/>
      <c r="F34" s="2" t="s">
        <v>22</v>
      </c>
      <c r="G34" s="2" t="s">
        <v>23</v>
      </c>
      <c r="H34" s="5" t="s">
        <v>101</v>
      </c>
      <c r="I34" s="2" t="s">
        <v>144</v>
      </c>
      <c r="J34" s="2" t="str">
        <f>_xlfn.XLOOKUP(B34,'[1]Snow Pre-Treatment - CCC - FY26'!$C:$C,'[1]Snow Pre-Treatment - CCC - FY26'!$G:$G)</f>
        <v>CSPT - 230126-30672</v>
      </c>
      <c r="K34" s="2"/>
      <c r="L34" s="2" t="s">
        <v>26</v>
      </c>
      <c r="M34" s="2" t="s">
        <v>27</v>
      </c>
      <c r="N34" s="2" t="s">
        <v>27</v>
      </c>
      <c r="O34" s="2" t="s">
        <v>28</v>
      </c>
      <c r="P34" s="2" t="s">
        <v>27</v>
      </c>
      <c r="Q34" s="2" t="s">
        <v>27</v>
      </c>
      <c r="R34" s="2" t="s">
        <v>27</v>
      </c>
      <c r="S34" s="2" t="s">
        <v>27</v>
      </c>
      <c r="T34" s="3">
        <v>1</v>
      </c>
      <c r="U34" s="2" t="s">
        <v>103</v>
      </c>
      <c r="V34" s="2" t="s">
        <v>26</v>
      </c>
    </row>
    <row r="35" spans="1:22" ht="15.6" x14ac:dyDescent="0.3">
      <c r="A35" s="2" t="s">
        <v>145</v>
      </c>
      <c r="B35" s="2" t="s">
        <v>146</v>
      </c>
      <c r="C35" s="2" t="s">
        <v>21</v>
      </c>
      <c r="D35" s="3">
        <v>1</v>
      </c>
      <c r="E35" s="4"/>
      <c r="F35" s="2" t="s">
        <v>22</v>
      </c>
      <c r="G35" s="2" t="s">
        <v>23</v>
      </c>
      <c r="H35" s="5" t="s">
        <v>147</v>
      </c>
      <c r="I35" s="2" t="s">
        <v>148</v>
      </c>
      <c r="J35" s="2" t="str">
        <f>_xlfn.XLOOKUP(B35,'[1]Snow Pre-Treatment - CCC - FY26'!$C:$C,'[1]Snow Pre-Treatment - CCC - FY26'!$G:$G)</f>
        <v>CSPT - 230126-30509</v>
      </c>
      <c r="K35" s="2"/>
      <c r="L35" s="2" t="s">
        <v>37</v>
      </c>
      <c r="M35" s="2" t="s">
        <v>27</v>
      </c>
      <c r="N35" s="2" t="s">
        <v>28</v>
      </c>
      <c r="O35" s="2" t="s">
        <v>28</v>
      </c>
      <c r="P35" s="2" t="s">
        <v>27</v>
      </c>
      <c r="Q35" s="2" t="s">
        <v>27</v>
      </c>
      <c r="R35" s="2" t="s">
        <v>27</v>
      </c>
      <c r="S35" s="2" t="s">
        <v>27</v>
      </c>
      <c r="T35" s="3">
        <v>1</v>
      </c>
      <c r="U35" s="2" t="s">
        <v>149</v>
      </c>
      <c r="V35" s="2" t="s">
        <v>37</v>
      </c>
    </row>
    <row r="36" spans="1:22" ht="15.6" x14ac:dyDescent="0.3">
      <c r="A36" s="2" t="s">
        <v>150</v>
      </c>
      <c r="B36" s="2" t="s">
        <v>150</v>
      </c>
      <c r="C36" s="2" t="s">
        <v>21</v>
      </c>
      <c r="D36" s="3">
        <v>1</v>
      </c>
      <c r="E36" s="4"/>
      <c r="F36" s="2" t="s">
        <v>22</v>
      </c>
      <c r="G36" s="2" t="s">
        <v>23</v>
      </c>
      <c r="H36" s="5" t="s">
        <v>147</v>
      </c>
      <c r="I36" s="2" t="s">
        <v>151</v>
      </c>
      <c r="J36" s="2" t="str">
        <f>_xlfn.XLOOKUP(B36,'[1]Snow Pre-Treatment - CCC - FY26'!$C:$C,'[1]Snow Pre-Treatment - CCC - FY26'!$G:$G)</f>
        <v>CSPT - 230126-30525</v>
      </c>
      <c r="K36" s="2"/>
      <c r="L36" s="2" t="s">
        <v>21</v>
      </c>
      <c r="M36" s="2" t="s">
        <v>27</v>
      </c>
      <c r="N36" s="2" t="s">
        <v>27</v>
      </c>
      <c r="O36" s="2" t="s">
        <v>28</v>
      </c>
      <c r="P36" s="2" t="s">
        <v>27</v>
      </c>
      <c r="Q36" s="2" t="s">
        <v>27</v>
      </c>
      <c r="R36" s="2" t="s">
        <v>27</v>
      </c>
      <c r="S36" s="2" t="s">
        <v>27</v>
      </c>
      <c r="T36" s="3">
        <v>1</v>
      </c>
      <c r="U36" s="2" t="s">
        <v>38</v>
      </c>
      <c r="V36" s="2" t="s">
        <v>21</v>
      </c>
    </row>
    <row r="37" spans="1:22" ht="15.6" x14ac:dyDescent="0.3">
      <c r="A37" s="2" t="s">
        <v>152</v>
      </c>
      <c r="B37" s="2" t="s">
        <v>153</v>
      </c>
      <c r="C37" s="2" t="s">
        <v>21</v>
      </c>
      <c r="D37" s="3">
        <v>1</v>
      </c>
      <c r="E37" s="4"/>
      <c r="F37" s="2" t="s">
        <v>22</v>
      </c>
      <c r="G37" s="2" t="s">
        <v>23</v>
      </c>
      <c r="H37" s="5" t="s">
        <v>147</v>
      </c>
      <c r="I37" s="2" t="s">
        <v>154</v>
      </c>
      <c r="J37" s="2" t="str">
        <f>_xlfn.XLOOKUP(B37,'[1]Snow Pre-Treatment - CCC - FY26'!$C:$C,'[1]Snow Pre-Treatment - CCC - FY26'!$G:$G)</f>
        <v>CSPT - 230126-30742</v>
      </c>
      <c r="K37" s="2"/>
      <c r="L37" s="2" t="s">
        <v>21</v>
      </c>
      <c r="M37" s="2" t="s">
        <v>27</v>
      </c>
      <c r="N37" s="2" t="s">
        <v>28</v>
      </c>
      <c r="O37" s="2" t="s">
        <v>28</v>
      </c>
      <c r="P37" s="2" t="s">
        <v>27</v>
      </c>
      <c r="Q37" s="2" t="s">
        <v>27</v>
      </c>
      <c r="R37" s="2" t="s">
        <v>27</v>
      </c>
      <c r="S37" s="2" t="s">
        <v>27</v>
      </c>
      <c r="T37" s="3">
        <v>1</v>
      </c>
      <c r="U37" s="2" t="s">
        <v>38</v>
      </c>
      <c r="V37" s="2" t="s">
        <v>21</v>
      </c>
    </row>
    <row r="38" spans="1:22" ht="15.6" x14ac:dyDescent="0.3">
      <c r="A38" s="2" t="s">
        <v>155</v>
      </c>
      <c r="B38" s="2" t="s">
        <v>156</v>
      </c>
      <c r="C38" s="2" t="s">
        <v>21</v>
      </c>
      <c r="D38" s="3">
        <v>1</v>
      </c>
      <c r="E38" s="4"/>
      <c r="F38" s="2" t="s">
        <v>22</v>
      </c>
      <c r="G38" s="2" t="s">
        <v>23</v>
      </c>
      <c r="H38" s="5" t="s">
        <v>147</v>
      </c>
      <c r="I38" s="2" t="s">
        <v>157</v>
      </c>
      <c r="J38" s="2" t="str">
        <f>_xlfn.XLOOKUP(B38,'[1]Snow Pre-Treatment - CCC - FY26'!$C:$C,'[1]Snow Pre-Treatment - CCC - FY26'!$G:$G)</f>
        <v>CSPT - 230126-30527</v>
      </c>
      <c r="K38" s="2"/>
      <c r="L38" s="2" t="s">
        <v>21</v>
      </c>
      <c r="M38" s="2" t="s">
        <v>27</v>
      </c>
      <c r="N38" s="2" t="s">
        <v>27</v>
      </c>
      <c r="O38" s="2" t="s">
        <v>28</v>
      </c>
      <c r="P38" s="2" t="s">
        <v>27</v>
      </c>
      <c r="Q38" s="2" t="s">
        <v>27</v>
      </c>
      <c r="R38" s="2" t="s">
        <v>27</v>
      </c>
      <c r="S38" s="2" t="s">
        <v>27</v>
      </c>
      <c r="T38" s="3">
        <v>1</v>
      </c>
      <c r="U38" s="2" t="s">
        <v>38</v>
      </c>
      <c r="V38" s="2" t="s">
        <v>21</v>
      </c>
    </row>
    <row r="39" spans="1:22" ht="15.6" x14ac:dyDescent="0.3">
      <c r="A39" s="2" t="s">
        <v>158</v>
      </c>
      <c r="B39" s="2" t="s">
        <v>159</v>
      </c>
      <c r="C39" s="2" t="s">
        <v>21</v>
      </c>
      <c r="D39" s="3">
        <v>1</v>
      </c>
      <c r="E39" s="4"/>
      <c r="F39" s="2" t="s">
        <v>22</v>
      </c>
      <c r="G39" s="2" t="s">
        <v>23</v>
      </c>
      <c r="H39" s="5" t="s">
        <v>147</v>
      </c>
      <c r="I39" s="2" t="s">
        <v>160</v>
      </c>
      <c r="J39" s="2" t="str">
        <f>_xlfn.XLOOKUP(B39,'[1]Snow Pre-Treatment - CCC - FY26'!$C:$C,'[1]Snow Pre-Treatment - CCC - FY26'!$G:$G)</f>
        <v>CSPT - 230126-30529</v>
      </c>
      <c r="K39" s="2"/>
      <c r="L39" s="2" t="s">
        <v>21</v>
      </c>
      <c r="M39" s="2" t="s">
        <v>27</v>
      </c>
      <c r="N39" s="2" t="s">
        <v>28</v>
      </c>
      <c r="O39" s="2" t="s">
        <v>28</v>
      </c>
      <c r="P39" s="2" t="s">
        <v>27</v>
      </c>
      <c r="Q39" s="2" t="s">
        <v>27</v>
      </c>
      <c r="R39" s="2" t="s">
        <v>27</v>
      </c>
      <c r="S39" s="2" t="s">
        <v>27</v>
      </c>
      <c r="T39" s="3">
        <v>1</v>
      </c>
      <c r="U39" s="2" t="s">
        <v>38</v>
      </c>
      <c r="V39" s="2" t="s">
        <v>21</v>
      </c>
    </row>
    <row r="40" spans="1:22" ht="15.6" x14ac:dyDescent="0.3">
      <c r="A40" s="2" t="s">
        <v>161</v>
      </c>
      <c r="B40" s="2" t="s">
        <v>162</v>
      </c>
      <c r="C40" s="2" t="s">
        <v>21</v>
      </c>
      <c r="D40" s="3">
        <v>1</v>
      </c>
      <c r="E40" s="4"/>
      <c r="F40" s="2" t="s">
        <v>22</v>
      </c>
      <c r="G40" s="2" t="s">
        <v>23</v>
      </c>
      <c r="H40" s="5" t="s">
        <v>147</v>
      </c>
      <c r="I40" s="2" t="s">
        <v>163</v>
      </c>
      <c r="J40" s="2" t="str">
        <f>_xlfn.XLOOKUP(B40,'[1]Snow Pre-Treatment - CCC - FY26'!$C:$C,'[1]Snow Pre-Treatment - CCC - FY26'!$G:$G)</f>
        <v>CSPT - 230126-30537</v>
      </c>
      <c r="K40" s="2"/>
      <c r="L40" s="2" t="s">
        <v>21</v>
      </c>
      <c r="M40" s="2" t="s">
        <v>27</v>
      </c>
      <c r="N40" s="2" t="s">
        <v>28</v>
      </c>
      <c r="O40" s="2" t="s">
        <v>28</v>
      </c>
      <c r="P40" s="2" t="s">
        <v>27</v>
      </c>
      <c r="Q40" s="2" t="s">
        <v>27</v>
      </c>
      <c r="R40" s="2" t="s">
        <v>27</v>
      </c>
      <c r="S40" s="2" t="s">
        <v>27</v>
      </c>
      <c r="T40" s="3">
        <v>1</v>
      </c>
      <c r="U40" s="2" t="s">
        <v>38</v>
      </c>
      <c r="V40" s="2" t="s">
        <v>21</v>
      </c>
    </row>
    <row r="41" spans="1:22" ht="15.6" x14ac:dyDescent="0.3">
      <c r="A41" s="2" t="s">
        <v>164</v>
      </c>
      <c r="B41" s="2" t="s">
        <v>165</v>
      </c>
      <c r="C41" s="2" t="s">
        <v>21</v>
      </c>
      <c r="D41" s="3">
        <v>1</v>
      </c>
      <c r="E41" s="4"/>
      <c r="F41" s="2" t="s">
        <v>22</v>
      </c>
      <c r="G41" s="2" t="s">
        <v>23</v>
      </c>
      <c r="H41" s="5" t="s">
        <v>166</v>
      </c>
      <c r="I41" s="2" t="s">
        <v>167</v>
      </c>
      <c r="J41" s="2" t="str">
        <f>_xlfn.XLOOKUP(B41,'[1]Snow Pre-Treatment - CCC - FY26'!$C:$C,'[1]Snow Pre-Treatment - CCC - FY26'!$G:$G)</f>
        <v>CSPT - 230126-30533</v>
      </c>
      <c r="K41" s="2"/>
      <c r="L41" s="2" t="s">
        <v>26</v>
      </c>
      <c r="M41" s="2" t="s">
        <v>27</v>
      </c>
      <c r="N41" s="2" t="s">
        <v>27</v>
      </c>
      <c r="O41" s="2" t="s">
        <v>28</v>
      </c>
      <c r="P41" s="2" t="s">
        <v>27</v>
      </c>
      <c r="Q41" s="2" t="s">
        <v>27</v>
      </c>
      <c r="R41" s="2" t="s">
        <v>27</v>
      </c>
      <c r="S41" s="2" t="s">
        <v>27</v>
      </c>
      <c r="T41" s="3">
        <v>1</v>
      </c>
      <c r="U41" s="2" t="s">
        <v>38</v>
      </c>
      <c r="V41" s="2" t="s">
        <v>26</v>
      </c>
    </row>
    <row r="42" spans="1:22" ht="15.6" x14ac:dyDescent="0.3">
      <c r="A42" s="2" t="s">
        <v>168</v>
      </c>
      <c r="B42" s="2" t="s">
        <v>169</v>
      </c>
      <c r="C42" s="2" t="s">
        <v>21</v>
      </c>
      <c r="D42" s="3">
        <v>1</v>
      </c>
      <c r="E42" s="4"/>
      <c r="F42" s="2" t="s">
        <v>22</v>
      </c>
      <c r="G42" s="2" t="s">
        <v>23</v>
      </c>
      <c r="H42" s="5" t="s">
        <v>170</v>
      </c>
      <c r="I42" s="2" t="s">
        <v>171</v>
      </c>
      <c r="J42" s="2" t="str">
        <f>_xlfn.XLOOKUP(B42,'[1]Snow Pre-Treatment - CCC - FY26'!$C:$C,'[1]Snow Pre-Treatment - CCC - FY26'!$G:$G)</f>
        <v>CSPT - 230126-30511</v>
      </c>
      <c r="K42" s="2"/>
      <c r="L42" s="2" t="s">
        <v>21</v>
      </c>
      <c r="M42" s="2" t="s">
        <v>27</v>
      </c>
      <c r="N42" s="2" t="s">
        <v>27</v>
      </c>
      <c r="O42" s="2" t="s">
        <v>28</v>
      </c>
      <c r="P42" s="2" t="s">
        <v>27</v>
      </c>
      <c r="Q42" s="2" t="s">
        <v>27</v>
      </c>
      <c r="R42" s="2" t="s">
        <v>27</v>
      </c>
      <c r="S42" s="2" t="s">
        <v>27</v>
      </c>
      <c r="T42" s="3">
        <v>1</v>
      </c>
      <c r="U42" s="2" t="s">
        <v>149</v>
      </c>
      <c r="V42" s="2" t="s">
        <v>21</v>
      </c>
    </row>
    <row r="43" spans="1:22" ht="15.6" x14ac:dyDescent="0.3">
      <c r="A43" s="2" t="s">
        <v>172</v>
      </c>
      <c r="B43" s="2" t="s">
        <v>173</v>
      </c>
      <c r="C43" s="2" t="s">
        <v>21</v>
      </c>
      <c r="D43" s="3">
        <v>1</v>
      </c>
      <c r="E43" s="4"/>
      <c r="F43" s="2" t="s">
        <v>22</v>
      </c>
      <c r="G43" s="2" t="s">
        <v>23</v>
      </c>
      <c r="H43" s="5" t="s">
        <v>170</v>
      </c>
      <c r="I43" s="2" t="s">
        <v>174</v>
      </c>
      <c r="J43" s="2" t="str">
        <f>_xlfn.XLOOKUP(B43,'[1]Snow Pre-Treatment - CCC - FY26'!$C:$C,'[1]Snow Pre-Treatment - CCC - FY26'!$G:$G)</f>
        <v>CSPT - 230126-30514</v>
      </c>
      <c r="K43" s="2"/>
      <c r="L43" s="2" t="s">
        <v>21</v>
      </c>
      <c r="M43" s="2" t="s">
        <v>27</v>
      </c>
      <c r="N43" s="2" t="s">
        <v>28</v>
      </c>
      <c r="O43" s="2" t="s">
        <v>28</v>
      </c>
      <c r="P43" s="2" t="s">
        <v>27</v>
      </c>
      <c r="Q43" s="2" t="s">
        <v>27</v>
      </c>
      <c r="R43" s="2" t="s">
        <v>27</v>
      </c>
      <c r="S43" s="2" t="s">
        <v>27</v>
      </c>
      <c r="T43" s="3">
        <v>1</v>
      </c>
      <c r="U43" s="2" t="s">
        <v>149</v>
      </c>
      <c r="V43" s="2" t="s">
        <v>21</v>
      </c>
    </row>
    <row r="44" spans="1:22" ht="15.6" x14ac:dyDescent="0.3">
      <c r="A44" s="2" t="s">
        <v>175</v>
      </c>
      <c r="B44" s="2" t="s">
        <v>176</v>
      </c>
      <c r="C44" s="2" t="s">
        <v>21</v>
      </c>
      <c r="D44" s="3">
        <v>1</v>
      </c>
      <c r="E44" s="4"/>
      <c r="F44" s="2" t="s">
        <v>22</v>
      </c>
      <c r="G44" s="2" t="s">
        <v>23</v>
      </c>
      <c r="H44" s="5" t="s">
        <v>177</v>
      </c>
      <c r="I44" s="2" t="s">
        <v>178</v>
      </c>
      <c r="J44" s="2" t="str">
        <f>_xlfn.XLOOKUP(B44,'[1]Snow Pre-Treatment - CCC - FY26'!$C:$C,'[1]Snow Pre-Treatment - CCC - FY26'!$G:$G)</f>
        <v>CSPT - 230126-30647</v>
      </c>
      <c r="K44" s="2"/>
      <c r="L44" s="2" t="s">
        <v>21</v>
      </c>
      <c r="M44" s="2" t="s">
        <v>22</v>
      </c>
      <c r="N44" s="2" t="s">
        <v>28</v>
      </c>
      <c r="O44" s="2" t="s">
        <v>28</v>
      </c>
      <c r="P44" s="2" t="s">
        <v>27</v>
      </c>
      <c r="Q44" s="2" t="s">
        <v>27</v>
      </c>
      <c r="R44" s="2" t="s">
        <v>27</v>
      </c>
      <c r="S44" s="2" t="s">
        <v>27</v>
      </c>
      <c r="T44" s="3">
        <v>1</v>
      </c>
      <c r="U44" s="2" t="s">
        <v>46</v>
      </c>
      <c r="V44" s="2" t="s">
        <v>21</v>
      </c>
    </row>
    <row r="45" spans="1:22" ht="15.6" x14ac:dyDescent="0.3">
      <c r="A45" s="2" t="s">
        <v>179</v>
      </c>
      <c r="B45" s="2" t="s">
        <v>180</v>
      </c>
      <c r="C45" s="2" t="s">
        <v>26</v>
      </c>
      <c r="D45" s="3">
        <v>1</v>
      </c>
      <c r="E45" s="4"/>
      <c r="F45" s="2" t="s">
        <v>22</v>
      </c>
      <c r="G45" s="2" t="s">
        <v>23</v>
      </c>
      <c r="H45" s="5" t="s">
        <v>181</v>
      </c>
      <c r="I45" s="2" t="s">
        <v>182</v>
      </c>
      <c r="J45" s="2" t="str">
        <f>_xlfn.XLOOKUP(B45,'[1]Snow Pre-Treatment - CCC - FY26'!$C:$C,'[1]Snow Pre-Treatment - CCC - FY26'!$G:$G)</f>
        <v>CSPT - 230126-30565</v>
      </c>
      <c r="K45" s="2"/>
      <c r="L45" s="2" t="s">
        <v>21</v>
      </c>
      <c r="M45" s="2" t="s">
        <v>27</v>
      </c>
      <c r="N45" s="2" t="s">
        <v>28</v>
      </c>
      <c r="O45" s="2" t="s">
        <v>28</v>
      </c>
      <c r="P45" s="2" t="s">
        <v>27</v>
      </c>
      <c r="Q45" s="2" t="s">
        <v>27</v>
      </c>
      <c r="R45" s="2" t="s">
        <v>27</v>
      </c>
      <c r="S45" s="2" t="s">
        <v>27</v>
      </c>
      <c r="T45" s="3">
        <v>1</v>
      </c>
      <c r="U45" s="2" t="s">
        <v>46</v>
      </c>
      <c r="V45" s="2" t="s">
        <v>21</v>
      </c>
    </row>
    <row r="46" spans="1:22" ht="15.6" x14ac:dyDescent="0.3">
      <c r="A46" s="2" t="s">
        <v>183</v>
      </c>
      <c r="B46" s="2" t="s">
        <v>184</v>
      </c>
      <c r="C46" s="2" t="s">
        <v>26</v>
      </c>
      <c r="D46" s="3">
        <v>1</v>
      </c>
      <c r="E46" s="4"/>
      <c r="F46" s="2" t="s">
        <v>22</v>
      </c>
      <c r="G46" s="2" t="s">
        <v>23</v>
      </c>
      <c r="H46" s="5" t="s">
        <v>185</v>
      </c>
      <c r="I46" s="2" t="s">
        <v>186</v>
      </c>
      <c r="J46" s="2" t="str">
        <f>_xlfn.XLOOKUP(B46,'[1]Snow Pre-Treatment - CCC - FY26'!$C:$C,'[1]Snow Pre-Treatment - CCC - FY26'!$G:$G)</f>
        <v>CSPT - 230126-30489</v>
      </c>
      <c r="K46" s="2"/>
      <c r="L46" s="2" t="s">
        <v>21</v>
      </c>
      <c r="M46" s="2" t="s">
        <v>27</v>
      </c>
      <c r="N46" s="2" t="s">
        <v>28</v>
      </c>
      <c r="O46" s="2" t="s">
        <v>28</v>
      </c>
      <c r="P46" s="2" t="s">
        <v>27</v>
      </c>
      <c r="Q46" s="2" t="s">
        <v>27</v>
      </c>
      <c r="R46" s="2" t="s">
        <v>27</v>
      </c>
      <c r="S46" s="2" t="s">
        <v>27</v>
      </c>
      <c r="T46" s="3">
        <v>1</v>
      </c>
      <c r="U46" s="2" t="s">
        <v>46</v>
      </c>
      <c r="V46" s="2" t="s">
        <v>21</v>
      </c>
    </row>
    <row r="47" spans="1:22" ht="15.6" x14ac:dyDescent="0.3">
      <c r="A47" s="2" t="s">
        <v>187</v>
      </c>
      <c r="B47" s="2" t="s">
        <v>188</v>
      </c>
      <c r="C47" s="2" t="s">
        <v>26</v>
      </c>
      <c r="D47" s="3">
        <v>1</v>
      </c>
      <c r="E47" s="4"/>
      <c r="F47" s="2" t="s">
        <v>22</v>
      </c>
      <c r="G47" s="2" t="s">
        <v>23</v>
      </c>
      <c r="H47" s="5" t="s">
        <v>189</v>
      </c>
      <c r="I47" s="2" t="s">
        <v>190</v>
      </c>
      <c r="J47" s="2" t="str">
        <f>_xlfn.XLOOKUP(B47,'[1]Snow Pre-Treatment - CCC - FY26'!$C:$C,'[1]Snow Pre-Treatment - CCC - FY26'!$G:$G)</f>
        <v>CSPT - 230126-30546</v>
      </c>
      <c r="K47" s="2"/>
      <c r="L47" s="2" t="s">
        <v>21</v>
      </c>
      <c r="M47" s="2" t="s">
        <v>27</v>
      </c>
      <c r="N47" s="2" t="s">
        <v>28</v>
      </c>
      <c r="O47" s="2" t="s">
        <v>28</v>
      </c>
      <c r="P47" s="2" t="s">
        <v>27</v>
      </c>
      <c r="Q47" s="2" t="s">
        <v>27</v>
      </c>
      <c r="R47" s="2" t="s">
        <v>27</v>
      </c>
      <c r="S47" s="2" t="s">
        <v>27</v>
      </c>
      <c r="T47" s="3">
        <v>1</v>
      </c>
      <c r="U47" s="2" t="s">
        <v>46</v>
      </c>
      <c r="V47" s="2" t="s">
        <v>21</v>
      </c>
    </row>
    <row r="48" spans="1:22" ht="15.6" x14ac:dyDescent="0.3">
      <c r="A48" s="2" t="s">
        <v>191</v>
      </c>
      <c r="B48" s="2" t="s">
        <v>192</v>
      </c>
      <c r="C48" s="2" t="s">
        <v>26</v>
      </c>
      <c r="D48" s="3">
        <v>1</v>
      </c>
      <c r="E48" s="4"/>
      <c r="F48" s="2" t="s">
        <v>22</v>
      </c>
      <c r="G48" s="2" t="s">
        <v>23</v>
      </c>
      <c r="H48" s="5" t="s">
        <v>193</v>
      </c>
      <c r="I48" s="2" t="s">
        <v>194</v>
      </c>
      <c r="J48" s="2" t="str">
        <f>_xlfn.XLOOKUP(B48,'[1]Snow Pre-Treatment - CCC - FY26'!$C:$C,'[1]Snow Pre-Treatment - CCC - FY26'!$G:$G)</f>
        <v>CSPT - 230126-30568</v>
      </c>
      <c r="K48" s="2"/>
      <c r="L48" s="2" t="s">
        <v>21</v>
      </c>
      <c r="M48" s="2" t="s">
        <v>27</v>
      </c>
      <c r="N48" s="2" t="s">
        <v>28</v>
      </c>
      <c r="O48" s="2" t="s">
        <v>28</v>
      </c>
      <c r="P48" s="2" t="s">
        <v>27</v>
      </c>
      <c r="Q48" s="2" t="s">
        <v>27</v>
      </c>
      <c r="R48" s="2" t="s">
        <v>27</v>
      </c>
      <c r="S48" s="2" t="s">
        <v>27</v>
      </c>
      <c r="T48" s="3">
        <v>1</v>
      </c>
      <c r="U48" s="2" t="s">
        <v>46</v>
      </c>
      <c r="V48" s="2" t="s">
        <v>21</v>
      </c>
    </row>
    <row r="49" spans="1:22" ht="15.6" x14ac:dyDescent="0.3">
      <c r="A49" s="2" t="s">
        <v>195</v>
      </c>
      <c r="B49" s="2" t="s">
        <v>196</v>
      </c>
      <c r="C49" s="2" t="s">
        <v>26</v>
      </c>
      <c r="D49" s="3">
        <v>1</v>
      </c>
      <c r="E49" s="4"/>
      <c r="F49" s="2" t="s">
        <v>22</v>
      </c>
      <c r="G49" s="2" t="s">
        <v>23</v>
      </c>
      <c r="H49" s="5" t="s">
        <v>181</v>
      </c>
      <c r="I49" s="2" t="s">
        <v>197</v>
      </c>
      <c r="J49" s="2" t="str">
        <f>_xlfn.XLOOKUP(B49,'[1]Snow Pre-Treatment - CCC - FY26'!$C:$C,'[1]Snow Pre-Treatment - CCC - FY26'!$G:$G)</f>
        <v>CSPT - 230126-30519</v>
      </c>
      <c r="K49" s="2"/>
      <c r="L49" s="2" t="s">
        <v>21</v>
      </c>
      <c r="M49" s="2" t="s">
        <v>27</v>
      </c>
      <c r="N49" s="2" t="s">
        <v>28</v>
      </c>
      <c r="O49" s="2" t="s">
        <v>28</v>
      </c>
      <c r="P49" s="2" t="s">
        <v>27</v>
      </c>
      <c r="Q49" s="2" t="s">
        <v>27</v>
      </c>
      <c r="R49" s="2" t="s">
        <v>27</v>
      </c>
      <c r="S49" s="2" t="s">
        <v>27</v>
      </c>
      <c r="T49" s="3">
        <v>1</v>
      </c>
      <c r="U49" s="2" t="s">
        <v>46</v>
      </c>
      <c r="V49" s="2" t="s">
        <v>21</v>
      </c>
    </row>
    <row r="50" spans="1:22" ht="15.6" x14ac:dyDescent="0.3">
      <c r="A50" s="2" t="s">
        <v>198</v>
      </c>
      <c r="B50" s="2" t="s">
        <v>199</v>
      </c>
      <c r="C50" s="2" t="s">
        <v>26</v>
      </c>
      <c r="D50" s="3">
        <v>1</v>
      </c>
      <c r="E50" s="4"/>
      <c r="F50" s="2" t="s">
        <v>22</v>
      </c>
      <c r="G50" s="2" t="s">
        <v>23</v>
      </c>
      <c r="H50" s="5" t="s">
        <v>181</v>
      </c>
      <c r="I50" s="2" t="s">
        <v>200</v>
      </c>
      <c r="J50" s="2" t="str">
        <f>_xlfn.XLOOKUP(B50,'[1]Snow Pre-Treatment - CCC - FY26'!$C:$C,'[1]Snow Pre-Treatment - CCC - FY26'!$G:$G)</f>
        <v>CSPT - 230126-30563</v>
      </c>
      <c r="K50" s="2"/>
      <c r="L50" s="2" t="s">
        <v>21</v>
      </c>
      <c r="M50" s="2" t="s">
        <v>27</v>
      </c>
      <c r="N50" s="2" t="s">
        <v>28</v>
      </c>
      <c r="O50" s="2" t="s">
        <v>28</v>
      </c>
      <c r="P50" s="2" t="s">
        <v>27</v>
      </c>
      <c r="Q50" s="2" t="s">
        <v>27</v>
      </c>
      <c r="R50" s="2" t="s">
        <v>27</v>
      </c>
      <c r="S50" s="2" t="s">
        <v>27</v>
      </c>
      <c r="T50" s="3">
        <v>1</v>
      </c>
      <c r="U50" s="2" t="s">
        <v>46</v>
      </c>
      <c r="V50" s="2" t="s">
        <v>21</v>
      </c>
    </row>
    <row r="51" spans="1:22" ht="15.6" x14ac:dyDescent="0.3">
      <c r="A51" s="2" t="s">
        <v>201</v>
      </c>
      <c r="B51" s="2" t="s">
        <v>202</v>
      </c>
      <c r="C51" s="2" t="s">
        <v>26</v>
      </c>
      <c r="D51" s="3">
        <v>1</v>
      </c>
      <c r="E51" s="4"/>
      <c r="F51" s="2" t="s">
        <v>22</v>
      </c>
      <c r="G51" s="2" t="s">
        <v>23</v>
      </c>
      <c r="H51" s="5" t="s">
        <v>203</v>
      </c>
      <c r="I51" s="2" t="s">
        <v>204</v>
      </c>
      <c r="J51" s="2" t="str">
        <f>_xlfn.XLOOKUP(B51,'[1]Snow Pre-Treatment - CCC - FY26'!$C:$C,'[1]Snow Pre-Treatment - CCC - FY26'!$G:$G)</f>
        <v>CSPT - 230126-30572</v>
      </c>
      <c r="K51" s="2"/>
      <c r="L51" s="2" t="s">
        <v>21</v>
      </c>
      <c r="M51" s="2" t="s">
        <v>27</v>
      </c>
      <c r="N51" s="2" t="s">
        <v>28</v>
      </c>
      <c r="O51" s="2" t="s">
        <v>28</v>
      </c>
      <c r="P51" s="2" t="s">
        <v>27</v>
      </c>
      <c r="Q51" s="2" t="s">
        <v>27</v>
      </c>
      <c r="R51" s="2" t="s">
        <v>27</v>
      </c>
      <c r="S51" s="2" t="s">
        <v>27</v>
      </c>
      <c r="T51" s="3">
        <v>1</v>
      </c>
      <c r="U51" s="2" t="s">
        <v>46</v>
      </c>
      <c r="V51" s="2" t="s">
        <v>21</v>
      </c>
    </row>
    <row r="52" spans="1:22" ht="15.6" x14ac:dyDescent="0.3">
      <c r="A52" s="2" t="s">
        <v>205</v>
      </c>
      <c r="B52" s="2" t="s">
        <v>206</v>
      </c>
      <c r="C52" s="2" t="s">
        <v>26</v>
      </c>
      <c r="D52" s="3">
        <v>1</v>
      </c>
      <c r="E52" s="4"/>
      <c r="F52" s="2" t="s">
        <v>22</v>
      </c>
      <c r="G52" s="2" t="s">
        <v>23</v>
      </c>
      <c r="H52" s="5" t="s">
        <v>203</v>
      </c>
      <c r="I52" s="2" t="s">
        <v>207</v>
      </c>
      <c r="J52" s="2" t="str">
        <f>_xlfn.XLOOKUP(B52,'[1]Snow Pre-Treatment - CCC - FY26'!$C:$C,'[1]Snow Pre-Treatment - CCC - FY26'!$G:$G)</f>
        <v>CSPT - 230126-30573</v>
      </c>
      <c r="K52" s="2"/>
      <c r="L52" s="2" t="s">
        <v>21</v>
      </c>
      <c r="M52" s="2" t="s">
        <v>27</v>
      </c>
      <c r="N52" s="2" t="s">
        <v>28</v>
      </c>
      <c r="O52" s="2" t="s">
        <v>28</v>
      </c>
      <c r="P52" s="2" t="s">
        <v>27</v>
      </c>
      <c r="Q52" s="2" t="s">
        <v>27</v>
      </c>
      <c r="R52" s="2" t="s">
        <v>27</v>
      </c>
      <c r="S52" s="2" t="s">
        <v>27</v>
      </c>
      <c r="T52" s="3">
        <v>1</v>
      </c>
      <c r="U52" s="2" t="s">
        <v>46</v>
      </c>
      <c r="V52" s="2" t="s">
        <v>21</v>
      </c>
    </row>
    <row r="53" spans="1:22" ht="15.6" x14ac:dyDescent="0.3">
      <c r="A53" s="2" t="s">
        <v>208</v>
      </c>
      <c r="B53" s="2" t="s">
        <v>209</v>
      </c>
      <c r="C53" s="2" t="s">
        <v>26</v>
      </c>
      <c r="D53" s="3">
        <v>1</v>
      </c>
      <c r="E53" s="4"/>
      <c r="F53" s="2" t="s">
        <v>22</v>
      </c>
      <c r="G53" s="2" t="s">
        <v>23</v>
      </c>
      <c r="H53" s="5" t="s">
        <v>87</v>
      </c>
      <c r="I53" s="2" t="s">
        <v>210</v>
      </c>
      <c r="J53" s="2" t="str">
        <f>_xlfn.XLOOKUP(B53,'[1]Snow Pre-Treatment - CCC - FY26'!$C:$C,'[1]Snow Pre-Treatment - CCC - FY26'!$G:$G)</f>
        <v>CSPT - 230126-30539</v>
      </c>
      <c r="K53" s="2"/>
      <c r="L53" s="2" t="s">
        <v>26</v>
      </c>
      <c r="M53" s="2" t="s">
        <v>27</v>
      </c>
      <c r="N53" s="2" t="s">
        <v>27</v>
      </c>
      <c r="O53" s="2" t="s">
        <v>28</v>
      </c>
      <c r="P53" s="2" t="s">
        <v>27</v>
      </c>
      <c r="Q53" s="2" t="s">
        <v>27</v>
      </c>
      <c r="R53" s="2" t="s">
        <v>27</v>
      </c>
      <c r="S53" s="2" t="s">
        <v>27</v>
      </c>
      <c r="T53" s="3">
        <v>1</v>
      </c>
      <c r="U53" s="2" t="s">
        <v>211</v>
      </c>
      <c r="V53" s="2" t="s">
        <v>26</v>
      </c>
    </row>
    <row r="54" spans="1:22" ht="15.6" x14ac:dyDescent="0.3">
      <c r="A54" s="2" t="s">
        <v>212</v>
      </c>
      <c r="B54" s="2" t="s">
        <v>213</v>
      </c>
      <c r="C54" s="2" t="s">
        <v>26</v>
      </c>
      <c r="D54" s="3">
        <v>1</v>
      </c>
      <c r="E54" s="4"/>
      <c r="F54" s="2" t="s">
        <v>22</v>
      </c>
      <c r="G54" s="2" t="s">
        <v>23</v>
      </c>
      <c r="H54" s="5" t="s">
        <v>87</v>
      </c>
      <c r="I54" s="2" t="s">
        <v>214</v>
      </c>
      <c r="J54" s="2" t="str">
        <f>_xlfn.XLOOKUP(B54,'[1]Snow Pre-Treatment - CCC - FY26'!$C:$C,'[1]Snow Pre-Treatment - CCC - FY26'!$G:$G)</f>
        <v>CSPT - 230126-30544</v>
      </c>
      <c r="K54" s="2"/>
      <c r="L54" s="2" t="s">
        <v>37</v>
      </c>
      <c r="M54" s="2" t="s">
        <v>27</v>
      </c>
      <c r="N54" s="2" t="s">
        <v>27</v>
      </c>
      <c r="O54" s="2" t="s">
        <v>28</v>
      </c>
      <c r="P54" s="2" t="s">
        <v>27</v>
      </c>
      <c r="Q54" s="2" t="s">
        <v>27</v>
      </c>
      <c r="R54" s="2" t="s">
        <v>27</v>
      </c>
      <c r="S54" s="2" t="s">
        <v>27</v>
      </c>
      <c r="T54" s="3">
        <v>1</v>
      </c>
      <c r="U54" s="2" t="s">
        <v>215</v>
      </c>
      <c r="V54" s="2" t="s">
        <v>37</v>
      </c>
    </row>
    <row r="55" spans="1:22" ht="15.6" x14ac:dyDescent="0.3">
      <c r="A55" s="2" t="s">
        <v>216</v>
      </c>
      <c r="B55" s="2" t="s">
        <v>217</v>
      </c>
      <c r="C55" s="2" t="s">
        <v>26</v>
      </c>
      <c r="D55" s="3">
        <v>1</v>
      </c>
      <c r="E55" s="4"/>
      <c r="F55" s="2" t="s">
        <v>22</v>
      </c>
      <c r="G55" s="2" t="s">
        <v>23</v>
      </c>
      <c r="H55" s="5" t="s">
        <v>87</v>
      </c>
      <c r="I55" s="2" t="s">
        <v>218</v>
      </c>
      <c r="J55" s="2" t="str">
        <f>_xlfn.XLOOKUP(B55,'[1]Snow Pre-Treatment - CCC - FY26'!$C:$C,'[1]Snow Pre-Treatment - CCC - FY26'!$G:$G)</f>
        <v>CSPT - 230126-30586</v>
      </c>
      <c r="K55" s="2"/>
      <c r="L55" s="2" t="s">
        <v>21</v>
      </c>
      <c r="M55" s="2" t="s">
        <v>27</v>
      </c>
      <c r="N55" s="2" t="s">
        <v>28</v>
      </c>
      <c r="O55" s="2" t="s">
        <v>28</v>
      </c>
      <c r="P55" s="2" t="s">
        <v>27</v>
      </c>
      <c r="Q55" s="2" t="s">
        <v>27</v>
      </c>
      <c r="R55" s="2" t="s">
        <v>27</v>
      </c>
      <c r="S55" s="2" t="s">
        <v>27</v>
      </c>
      <c r="T55" s="3">
        <v>1</v>
      </c>
      <c r="U55" s="2" t="s">
        <v>46</v>
      </c>
      <c r="V55" s="2" t="s">
        <v>21</v>
      </c>
    </row>
    <row r="56" spans="1:22" ht="15.6" x14ac:dyDescent="0.3">
      <c r="A56" s="2" t="s">
        <v>219</v>
      </c>
      <c r="B56" s="2" t="s">
        <v>220</v>
      </c>
      <c r="C56" s="2" t="s">
        <v>26</v>
      </c>
      <c r="D56" s="3">
        <v>1</v>
      </c>
      <c r="E56" s="4"/>
      <c r="F56" s="2" t="s">
        <v>22</v>
      </c>
      <c r="G56" s="2" t="s">
        <v>23</v>
      </c>
      <c r="H56" s="5" t="s">
        <v>94</v>
      </c>
      <c r="I56" s="2" t="s">
        <v>221</v>
      </c>
      <c r="J56" s="2" t="str">
        <f>_xlfn.XLOOKUP(B56,'[1]Snow Pre-Treatment - CCC - FY26'!$C:$C,'[1]Snow Pre-Treatment - CCC - FY26'!$G:$G)</f>
        <v>CSPT - 230126-30701</v>
      </c>
      <c r="K56" s="2"/>
      <c r="L56" s="2" t="s">
        <v>26</v>
      </c>
      <c r="M56" s="2" t="s">
        <v>27</v>
      </c>
      <c r="N56" s="2" t="s">
        <v>28</v>
      </c>
      <c r="O56" s="2" t="s">
        <v>28</v>
      </c>
      <c r="P56" s="2" t="s">
        <v>27</v>
      </c>
      <c r="Q56" s="2" t="s">
        <v>27</v>
      </c>
      <c r="R56" s="2" t="s">
        <v>27</v>
      </c>
      <c r="S56" s="2" t="s">
        <v>27</v>
      </c>
      <c r="T56" s="3">
        <v>1</v>
      </c>
      <c r="U56" s="2" t="s">
        <v>29</v>
      </c>
      <c r="V56" s="2" t="s">
        <v>26</v>
      </c>
    </row>
    <row r="57" spans="1:22" ht="15.6" x14ac:dyDescent="0.3">
      <c r="A57" s="2" t="s">
        <v>222</v>
      </c>
      <c r="B57" s="2" t="s">
        <v>223</v>
      </c>
      <c r="C57" s="2" t="s">
        <v>26</v>
      </c>
      <c r="D57" s="3">
        <v>1</v>
      </c>
      <c r="E57" s="4"/>
      <c r="F57" s="2" t="s">
        <v>22</v>
      </c>
      <c r="G57" s="2" t="s">
        <v>23</v>
      </c>
      <c r="H57" s="5" t="s">
        <v>94</v>
      </c>
      <c r="I57" s="2" t="s">
        <v>224</v>
      </c>
      <c r="J57" s="2" t="str">
        <f>_xlfn.XLOOKUP(B57,'[1]Snow Pre-Treatment - CCC - FY26'!$C:$C,'[1]Snow Pre-Treatment - CCC - FY26'!$G:$G)</f>
        <v>CSPT - 230126-30703</v>
      </c>
      <c r="K57" s="2"/>
      <c r="L57" s="2" t="s">
        <v>26</v>
      </c>
      <c r="M57" s="2" t="s">
        <v>27</v>
      </c>
      <c r="N57" s="2" t="s">
        <v>27</v>
      </c>
      <c r="O57" s="2" t="s">
        <v>28</v>
      </c>
      <c r="P57" s="2" t="s">
        <v>28</v>
      </c>
      <c r="Q57" s="2" t="s">
        <v>27</v>
      </c>
      <c r="R57" s="2" t="s">
        <v>27</v>
      </c>
      <c r="S57" s="2" t="s">
        <v>27</v>
      </c>
      <c r="T57" s="3">
        <v>1</v>
      </c>
      <c r="U57" s="2" t="s">
        <v>29</v>
      </c>
      <c r="V57" s="2" t="s">
        <v>26</v>
      </c>
    </row>
    <row r="58" spans="1:22" ht="15.6" x14ac:dyDescent="0.3">
      <c r="A58" s="2" t="s">
        <v>225</v>
      </c>
      <c r="B58" s="2" t="s">
        <v>226</v>
      </c>
      <c r="C58" s="2" t="s">
        <v>26</v>
      </c>
      <c r="D58" s="3">
        <v>1</v>
      </c>
      <c r="E58" s="4"/>
      <c r="F58" s="2" t="s">
        <v>22</v>
      </c>
      <c r="G58" s="2" t="s">
        <v>23</v>
      </c>
      <c r="H58" s="5" t="s">
        <v>94</v>
      </c>
      <c r="I58" s="2" t="s">
        <v>227</v>
      </c>
      <c r="J58" s="2" t="str">
        <f>_xlfn.XLOOKUP(B58,'[1]Snow Pre-Treatment - CCC - FY26'!$C:$C,'[1]Snow Pre-Treatment - CCC - FY26'!$G:$G)</f>
        <v>CSPT - 230126-30689</v>
      </c>
      <c r="K58" s="2"/>
      <c r="L58" s="2" t="s">
        <v>26</v>
      </c>
      <c r="M58" s="2" t="s">
        <v>27</v>
      </c>
      <c r="N58" s="2" t="s">
        <v>27</v>
      </c>
      <c r="O58" s="2" t="s">
        <v>28</v>
      </c>
      <c r="P58" s="2" t="s">
        <v>27</v>
      </c>
      <c r="Q58" s="2" t="s">
        <v>27</v>
      </c>
      <c r="R58" s="2" t="s">
        <v>27</v>
      </c>
      <c r="S58" s="2" t="s">
        <v>27</v>
      </c>
      <c r="T58" s="3">
        <v>1</v>
      </c>
      <c r="U58" s="2" t="s">
        <v>29</v>
      </c>
      <c r="V58" s="2" t="s">
        <v>26</v>
      </c>
    </row>
    <row r="59" spans="1:22" ht="15.6" x14ac:dyDescent="0.3">
      <c r="A59" s="2" t="s">
        <v>228</v>
      </c>
      <c r="B59" s="2" t="s">
        <v>229</v>
      </c>
      <c r="C59" s="2" t="s">
        <v>26</v>
      </c>
      <c r="D59" s="3">
        <v>1</v>
      </c>
      <c r="E59" s="4"/>
      <c r="F59" s="2" t="s">
        <v>22</v>
      </c>
      <c r="G59" s="2" t="s">
        <v>23</v>
      </c>
      <c r="H59" s="5" t="s">
        <v>94</v>
      </c>
      <c r="I59" s="2" t="s">
        <v>230</v>
      </c>
      <c r="J59" s="2" t="str">
        <f>_xlfn.XLOOKUP(B59,'[1]Snow Pre-Treatment - CCC - FY26'!$C:$C,'[1]Snow Pre-Treatment - CCC - FY26'!$G:$G)</f>
        <v>CSPT - 230126-30704</v>
      </c>
      <c r="K59" s="2"/>
      <c r="L59" s="2" t="s">
        <v>26</v>
      </c>
      <c r="M59" s="2" t="s">
        <v>27</v>
      </c>
      <c r="N59" s="2" t="s">
        <v>28</v>
      </c>
      <c r="O59" s="2" t="s">
        <v>28</v>
      </c>
      <c r="P59" s="2" t="s">
        <v>27</v>
      </c>
      <c r="Q59" s="2" t="s">
        <v>27</v>
      </c>
      <c r="R59" s="2" t="s">
        <v>27</v>
      </c>
      <c r="S59" s="2" t="s">
        <v>27</v>
      </c>
      <c r="T59" s="3">
        <v>1</v>
      </c>
      <c r="U59" s="2" t="s">
        <v>29</v>
      </c>
      <c r="V59" s="2" t="s">
        <v>26</v>
      </c>
    </row>
    <row r="60" spans="1:22" ht="15.6" x14ac:dyDescent="0.3">
      <c r="A60" s="2" t="s">
        <v>231</v>
      </c>
      <c r="B60" s="2" t="s">
        <v>232</v>
      </c>
      <c r="C60" s="2" t="s">
        <v>26</v>
      </c>
      <c r="D60" s="3">
        <v>1</v>
      </c>
      <c r="E60" s="4"/>
      <c r="F60" s="2" t="s">
        <v>22</v>
      </c>
      <c r="G60" s="2" t="s">
        <v>23</v>
      </c>
      <c r="H60" s="5" t="s">
        <v>94</v>
      </c>
      <c r="I60" s="2" t="s">
        <v>233</v>
      </c>
      <c r="J60" s="2" t="str">
        <f>_xlfn.XLOOKUP(B60,'[1]Snow Pre-Treatment - CCC - FY26'!$C:$C,'[1]Snow Pre-Treatment - CCC - FY26'!$G:$G)</f>
        <v>CSPT - 230126-30686</v>
      </c>
      <c r="K60" s="2"/>
      <c r="L60" s="2" t="s">
        <v>26</v>
      </c>
      <c r="M60" s="2" t="s">
        <v>27</v>
      </c>
      <c r="N60" s="2" t="s">
        <v>27</v>
      </c>
      <c r="O60" s="2" t="s">
        <v>28</v>
      </c>
      <c r="P60" s="2" t="s">
        <v>27</v>
      </c>
      <c r="Q60" s="2" t="s">
        <v>27</v>
      </c>
      <c r="R60" s="2" t="s">
        <v>27</v>
      </c>
      <c r="S60" s="2" t="s">
        <v>27</v>
      </c>
      <c r="T60" s="3">
        <v>1</v>
      </c>
      <c r="U60" s="2" t="s">
        <v>29</v>
      </c>
      <c r="V60" s="2" t="s">
        <v>26</v>
      </c>
    </row>
    <row r="61" spans="1:22" ht="15.6" x14ac:dyDescent="0.3">
      <c r="A61" s="2" t="s">
        <v>234</v>
      </c>
      <c r="B61" s="2" t="s">
        <v>235</v>
      </c>
      <c r="C61" s="2" t="s">
        <v>26</v>
      </c>
      <c r="D61" s="3">
        <v>1</v>
      </c>
      <c r="E61" s="4"/>
      <c r="F61" s="2" t="s">
        <v>22</v>
      </c>
      <c r="G61" s="2" t="s">
        <v>23</v>
      </c>
      <c r="H61" s="5" t="s">
        <v>113</v>
      </c>
      <c r="I61" s="2" t="s">
        <v>236</v>
      </c>
      <c r="J61" s="2" t="str">
        <f>_xlfn.XLOOKUP(B61,'[1]Snow Pre-Treatment - CCC - FY26'!$C:$C,'[1]Snow Pre-Treatment - CCC - FY26'!$G:$G)</f>
        <v>CSPT - 230126-30685</v>
      </c>
      <c r="K61" s="2"/>
      <c r="L61" s="2" t="s">
        <v>26</v>
      </c>
      <c r="M61" s="2" t="s">
        <v>27</v>
      </c>
      <c r="N61" s="2" t="s">
        <v>28</v>
      </c>
      <c r="O61" s="2" t="s">
        <v>28</v>
      </c>
      <c r="P61" s="2" t="s">
        <v>27</v>
      </c>
      <c r="Q61" s="2" t="s">
        <v>27</v>
      </c>
      <c r="R61" s="2" t="s">
        <v>27</v>
      </c>
      <c r="S61" s="2" t="s">
        <v>27</v>
      </c>
      <c r="T61" s="3">
        <v>1</v>
      </c>
      <c r="U61" s="2" t="s">
        <v>29</v>
      </c>
      <c r="V61" s="2" t="s">
        <v>26</v>
      </c>
    </row>
    <row r="62" spans="1:22" ht="15.6" x14ac:dyDescent="0.3">
      <c r="A62" s="2" t="s">
        <v>237</v>
      </c>
      <c r="B62" s="2" t="s">
        <v>237</v>
      </c>
      <c r="C62" s="2" t="s">
        <v>26</v>
      </c>
      <c r="D62" s="3">
        <v>1</v>
      </c>
      <c r="E62" s="4"/>
      <c r="F62" s="2" t="s">
        <v>22</v>
      </c>
      <c r="G62" s="2" t="s">
        <v>23</v>
      </c>
      <c r="H62" s="5" t="s">
        <v>109</v>
      </c>
      <c r="I62" s="2" t="s">
        <v>238</v>
      </c>
      <c r="J62" s="2" t="str">
        <f>_xlfn.XLOOKUP(B62,'[1]Snow Pre-Treatment - CCC - FY26'!$C:$C,'[1]Snow Pre-Treatment - CCC - FY26'!$G:$G)</f>
        <v>CSPT - 230126-30643</v>
      </c>
      <c r="K62" s="2"/>
      <c r="L62" s="2" t="s">
        <v>37</v>
      </c>
      <c r="M62" s="2" t="s">
        <v>27</v>
      </c>
      <c r="N62" s="2" t="s">
        <v>27</v>
      </c>
      <c r="O62" s="2" t="s">
        <v>28</v>
      </c>
      <c r="P62" s="2" t="s">
        <v>27</v>
      </c>
      <c r="Q62" s="2" t="s">
        <v>27</v>
      </c>
      <c r="R62" s="2" t="s">
        <v>27</v>
      </c>
      <c r="S62" s="2" t="s">
        <v>27</v>
      </c>
      <c r="T62" s="3">
        <v>1</v>
      </c>
      <c r="U62" s="2" t="s">
        <v>103</v>
      </c>
      <c r="V62" s="2" t="s">
        <v>37</v>
      </c>
    </row>
    <row r="63" spans="1:22" ht="15.6" x14ac:dyDescent="0.3">
      <c r="A63" s="2" t="s">
        <v>239</v>
      </c>
      <c r="B63" s="2" t="s">
        <v>240</v>
      </c>
      <c r="C63" s="2" t="s">
        <v>26</v>
      </c>
      <c r="D63" s="3">
        <v>1</v>
      </c>
      <c r="E63" s="4"/>
      <c r="F63" s="2" t="s">
        <v>22</v>
      </c>
      <c r="G63" s="2" t="s">
        <v>23</v>
      </c>
      <c r="H63" s="5" t="s">
        <v>109</v>
      </c>
      <c r="I63" s="2" t="s">
        <v>241</v>
      </c>
      <c r="J63" s="2" t="str">
        <f>_xlfn.XLOOKUP(B63,'[1]Snow Pre-Treatment - CCC - FY26'!$C:$C,'[1]Snow Pre-Treatment - CCC - FY26'!$G:$G)</f>
        <v>CSPT - 230126-30644</v>
      </c>
      <c r="K63" s="2"/>
      <c r="L63" s="2" t="s">
        <v>37</v>
      </c>
      <c r="M63" s="2" t="s">
        <v>27</v>
      </c>
      <c r="N63" s="2" t="s">
        <v>27</v>
      </c>
      <c r="O63" s="2" t="s">
        <v>28</v>
      </c>
      <c r="P63" s="2" t="s">
        <v>27</v>
      </c>
      <c r="Q63" s="2" t="s">
        <v>27</v>
      </c>
      <c r="R63" s="2" t="s">
        <v>27</v>
      </c>
      <c r="S63" s="2" t="s">
        <v>27</v>
      </c>
      <c r="T63" s="3">
        <v>1</v>
      </c>
      <c r="U63" s="2" t="s">
        <v>103</v>
      </c>
      <c r="V63" s="2" t="s">
        <v>37</v>
      </c>
    </row>
    <row r="64" spans="1:22" ht="15.6" x14ac:dyDescent="0.3">
      <c r="A64" s="2" t="s">
        <v>242</v>
      </c>
      <c r="B64" s="2" t="s">
        <v>243</v>
      </c>
      <c r="C64" s="2" t="s">
        <v>26</v>
      </c>
      <c r="D64" s="3">
        <v>1</v>
      </c>
      <c r="E64" s="4"/>
      <c r="F64" s="2" t="s">
        <v>22</v>
      </c>
      <c r="G64" s="2" t="s">
        <v>23</v>
      </c>
      <c r="H64" s="5" t="s">
        <v>109</v>
      </c>
      <c r="I64" s="2" t="s">
        <v>244</v>
      </c>
      <c r="J64" s="2" t="str">
        <f>_xlfn.XLOOKUP(B64,'[1]Snow Pre-Treatment - CCC - FY26'!$C:$C,'[1]Snow Pre-Treatment - CCC - FY26'!$G:$G)</f>
        <v>CSPT - 230126-30649</v>
      </c>
      <c r="K64" s="2"/>
      <c r="L64" s="2" t="s">
        <v>37</v>
      </c>
      <c r="M64" s="2" t="s">
        <v>27</v>
      </c>
      <c r="N64" s="2" t="s">
        <v>27</v>
      </c>
      <c r="O64" s="2" t="s">
        <v>28</v>
      </c>
      <c r="P64" s="2" t="s">
        <v>27</v>
      </c>
      <c r="Q64" s="2" t="s">
        <v>27</v>
      </c>
      <c r="R64" s="2" t="s">
        <v>27</v>
      </c>
      <c r="S64" s="2" t="s">
        <v>27</v>
      </c>
      <c r="T64" s="3">
        <v>1</v>
      </c>
      <c r="U64" s="2" t="s">
        <v>103</v>
      </c>
      <c r="V64" s="2" t="s">
        <v>37</v>
      </c>
    </row>
    <row r="65" spans="1:22" ht="15.6" x14ac:dyDescent="0.3">
      <c r="A65" s="2" t="s">
        <v>245</v>
      </c>
      <c r="B65" s="2" t="s">
        <v>246</v>
      </c>
      <c r="C65" s="2" t="s">
        <v>26</v>
      </c>
      <c r="D65" s="3">
        <v>1</v>
      </c>
      <c r="E65" s="4"/>
      <c r="F65" s="2" t="s">
        <v>22</v>
      </c>
      <c r="G65" s="2" t="s">
        <v>23</v>
      </c>
      <c r="H65" s="5" t="s">
        <v>125</v>
      </c>
      <c r="I65" s="2" t="s">
        <v>247</v>
      </c>
      <c r="J65" s="2" t="str">
        <f>_xlfn.XLOOKUP(B65,'[1]Snow Pre-Treatment - CCC - FY26'!$C:$C,'[1]Snow Pre-Treatment - CCC - FY26'!$G:$G)</f>
        <v>CSPT - 230126-30651</v>
      </c>
      <c r="K65" s="2"/>
      <c r="L65" s="2" t="s">
        <v>37</v>
      </c>
      <c r="M65" s="2" t="s">
        <v>27</v>
      </c>
      <c r="N65" s="2" t="s">
        <v>27</v>
      </c>
      <c r="O65" s="2" t="s">
        <v>28</v>
      </c>
      <c r="P65" s="2" t="s">
        <v>27</v>
      </c>
      <c r="Q65" s="2" t="s">
        <v>27</v>
      </c>
      <c r="R65" s="2" t="s">
        <v>27</v>
      </c>
      <c r="S65" s="2" t="s">
        <v>27</v>
      </c>
      <c r="T65" s="3">
        <v>1</v>
      </c>
      <c r="U65" s="2" t="s">
        <v>103</v>
      </c>
      <c r="V65" s="2" t="s">
        <v>37</v>
      </c>
    </row>
    <row r="66" spans="1:22" ht="15.6" x14ac:dyDescent="0.3">
      <c r="A66" s="2" t="s">
        <v>248</v>
      </c>
      <c r="B66" s="2" t="s">
        <v>248</v>
      </c>
      <c r="C66" s="2" t="s">
        <v>26</v>
      </c>
      <c r="D66" s="3">
        <v>1</v>
      </c>
      <c r="E66" s="4"/>
      <c r="F66" s="2" t="s">
        <v>22</v>
      </c>
      <c r="G66" s="2" t="s">
        <v>23</v>
      </c>
      <c r="H66" s="5" t="s">
        <v>125</v>
      </c>
      <c r="I66" s="2" t="s">
        <v>249</v>
      </c>
      <c r="J66" s="2" t="str">
        <f>_xlfn.XLOOKUP(B66,'[1]Snow Pre-Treatment - CCC - FY26'!$C:$C,'[1]Snow Pre-Treatment - CCC - FY26'!$G:$G)</f>
        <v>CSPT - 230126-30653</v>
      </c>
      <c r="K66" s="2"/>
      <c r="L66" s="2" t="s">
        <v>37</v>
      </c>
      <c r="M66" s="2" t="s">
        <v>27</v>
      </c>
      <c r="N66" s="2" t="s">
        <v>27</v>
      </c>
      <c r="O66" s="2" t="s">
        <v>28</v>
      </c>
      <c r="P66" s="2" t="s">
        <v>27</v>
      </c>
      <c r="Q66" s="2" t="s">
        <v>27</v>
      </c>
      <c r="R66" s="2" t="s">
        <v>27</v>
      </c>
      <c r="S66" s="2" t="s">
        <v>27</v>
      </c>
      <c r="T66" s="3">
        <v>1</v>
      </c>
      <c r="U66" s="2" t="s">
        <v>103</v>
      </c>
      <c r="V66" s="2" t="s">
        <v>37</v>
      </c>
    </row>
    <row r="67" spans="1:22" ht="15.6" x14ac:dyDescent="0.3">
      <c r="A67" s="2" t="s">
        <v>250</v>
      </c>
      <c r="B67" s="2" t="s">
        <v>251</v>
      </c>
      <c r="C67" s="2" t="s">
        <v>26</v>
      </c>
      <c r="D67" s="3">
        <v>1</v>
      </c>
      <c r="E67" s="4"/>
      <c r="F67" s="2" t="s">
        <v>22</v>
      </c>
      <c r="G67" s="2" t="s">
        <v>23</v>
      </c>
      <c r="H67" s="5" t="s">
        <v>125</v>
      </c>
      <c r="I67" s="2" t="s">
        <v>252</v>
      </c>
      <c r="J67" s="2" t="str">
        <f>_xlfn.XLOOKUP(B67,'[1]Snow Pre-Treatment - CCC - FY26'!$C:$C,'[1]Snow Pre-Treatment - CCC - FY26'!$G:$G)</f>
        <v>CSPT - 230126-30656</v>
      </c>
      <c r="K67" s="2"/>
      <c r="L67" s="2" t="s">
        <v>37</v>
      </c>
      <c r="M67" s="2" t="s">
        <v>27</v>
      </c>
      <c r="N67" s="2" t="s">
        <v>27</v>
      </c>
      <c r="O67" s="2" t="s">
        <v>28</v>
      </c>
      <c r="P67" s="2" t="s">
        <v>27</v>
      </c>
      <c r="Q67" s="2" t="s">
        <v>27</v>
      </c>
      <c r="R67" s="2" t="s">
        <v>27</v>
      </c>
      <c r="S67" s="2" t="s">
        <v>27</v>
      </c>
      <c r="T67" s="3">
        <v>1</v>
      </c>
      <c r="U67" s="2" t="s">
        <v>103</v>
      </c>
      <c r="V67" s="2" t="s">
        <v>37</v>
      </c>
    </row>
    <row r="68" spans="1:22" ht="15.6" x14ac:dyDescent="0.3">
      <c r="A68" s="2" t="s">
        <v>253</v>
      </c>
      <c r="B68" s="2" t="s">
        <v>254</v>
      </c>
      <c r="C68" s="2" t="s">
        <v>26</v>
      </c>
      <c r="D68" s="3">
        <v>1</v>
      </c>
      <c r="E68" s="4"/>
      <c r="F68" s="2" t="s">
        <v>22</v>
      </c>
      <c r="G68" s="2" t="s">
        <v>23</v>
      </c>
      <c r="H68" s="5" t="s">
        <v>101</v>
      </c>
      <c r="I68" s="2" t="s">
        <v>255</v>
      </c>
      <c r="J68" s="2" t="str">
        <f>_xlfn.XLOOKUP(B68,'[1]Snow Pre-Treatment - CCC - FY26'!$C:$C,'[1]Snow Pre-Treatment - CCC - FY26'!$G:$G)</f>
        <v>CSPT - 230126-30645</v>
      </c>
      <c r="K68" s="2"/>
      <c r="L68" s="2" t="s">
        <v>26</v>
      </c>
      <c r="M68" s="2" t="s">
        <v>27</v>
      </c>
      <c r="N68" s="2" t="s">
        <v>27</v>
      </c>
      <c r="O68" s="2" t="s">
        <v>28</v>
      </c>
      <c r="P68" s="2" t="s">
        <v>27</v>
      </c>
      <c r="Q68" s="2" t="s">
        <v>27</v>
      </c>
      <c r="R68" s="2" t="s">
        <v>27</v>
      </c>
      <c r="S68" s="2" t="s">
        <v>27</v>
      </c>
      <c r="T68" s="3">
        <v>1</v>
      </c>
      <c r="U68" s="2" t="s">
        <v>103</v>
      </c>
      <c r="V68" s="2" t="s">
        <v>26</v>
      </c>
    </row>
    <row r="69" spans="1:22" ht="15.6" x14ac:dyDescent="0.3">
      <c r="A69" s="2" t="s">
        <v>256</v>
      </c>
      <c r="B69" s="2" t="s">
        <v>257</v>
      </c>
      <c r="C69" s="2" t="s">
        <v>26</v>
      </c>
      <c r="D69" s="3">
        <v>1</v>
      </c>
      <c r="E69" s="4"/>
      <c r="F69" s="2" t="s">
        <v>22</v>
      </c>
      <c r="G69" s="2" t="s">
        <v>23</v>
      </c>
      <c r="H69" s="5" t="s">
        <v>166</v>
      </c>
      <c r="I69" s="2" t="s">
        <v>258</v>
      </c>
      <c r="J69" s="2" t="str">
        <f>_xlfn.XLOOKUP(B69,'[1]Snow Pre-Treatment - CCC - FY26'!$C:$C,'[1]Snow Pre-Treatment - CCC - FY26'!$G:$G)</f>
        <v>CSPT - 230126-30522</v>
      </c>
      <c r="K69" s="2"/>
      <c r="L69" s="2" t="s">
        <v>21</v>
      </c>
      <c r="M69" s="2" t="s">
        <v>27</v>
      </c>
      <c r="N69" s="2" t="s">
        <v>27</v>
      </c>
      <c r="O69" s="2" t="s">
        <v>28</v>
      </c>
      <c r="P69" s="2" t="s">
        <v>27</v>
      </c>
      <c r="Q69" s="2" t="s">
        <v>27</v>
      </c>
      <c r="R69" s="2" t="s">
        <v>27</v>
      </c>
      <c r="S69" s="2" t="s">
        <v>27</v>
      </c>
      <c r="T69" s="3">
        <v>1</v>
      </c>
      <c r="U69" s="2" t="s">
        <v>38</v>
      </c>
      <c r="V69" s="2" t="s">
        <v>21</v>
      </c>
    </row>
    <row r="70" spans="1:22" ht="15.6" x14ac:dyDescent="0.3">
      <c r="A70" s="2" t="s">
        <v>259</v>
      </c>
      <c r="B70" s="2" t="s">
        <v>260</v>
      </c>
      <c r="C70" s="2" t="s">
        <v>26</v>
      </c>
      <c r="D70" s="3">
        <v>1</v>
      </c>
      <c r="E70" s="4"/>
      <c r="F70" s="2" t="s">
        <v>22</v>
      </c>
      <c r="G70" s="2" t="s">
        <v>23</v>
      </c>
      <c r="H70" s="5" t="s">
        <v>166</v>
      </c>
      <c r="I70" s="2" t="s">
        <v>261</v>
      </c>
      <c r="J70" s="2" t="str">
        <f>_xlfn.XLOOKUP(B70,'[1]Snow Pre-Treatment - CCC - FY26'!$C:$C,'[1]Snow Pre-Treatment - CCC - FY26'!$G:$G)</f>
        <v>CSPT - 230126-30515</v>
      </c>
      <c r="K70" s="2"/>
      <c r="L70" s="2" t="s">
        <v>26</v>
      </c>
      <c r="M70" s="2" t="s">
        <v>27</v>
      </c>
      <c r="N70" s="2" t="s">
        <v>27</v>
      </c>
      <c r="O70" s="2" t="s">
        <v>28</v>
      </c>
      <c r="P70" s="2" t="s">
        <v>27</v>
      </c>
      <c r="Q70" s="2" t="s">
        <v>27</v>
      </c>
      <c r="R70" s="2" t="s">
        <v>27</v>
      </c>
      <c r="S70" s="2" t="s">
        <v>27</v>
      </c>
      <c r="T70" s="3">
        <v>1</v>
      </c>
      <c r="U70" s="2" t="s">
        <v>38</v>
      </c>
      <c r="V70" s="2" t="s">
        <v>26</v>
      </c>
    </row>
    <row r="71" spans="1:22" ht="15.6" x14ac:dyDescent="0.3">
      <c r="A71" s="2" t="s">
        <v>262</v>
      </c>
      <c r="B71" s="2" t="s">
        <v>263</v>
      </c>
      <c r="C71" s="2" t="s">
        <v>26</v>
      </c>
      <c r="D71" s="3">
        <v>1</v>
      </c>
      <c r="E71" s="4"/>
      <c r="F71" s="2" t="s">
        <v>22</v>
      </c>
      <c r="G71" s="2" t="s">
        <v>23</v>
      </c>
      <c r="H71" s="5" t="s">
        <v>166</v>
      </c>
      <c r="I71" s="2" t="s">
        <v>264</v>
      </c>
      <c r="J71" s="2" t="str">
        <f>_xlfn.XLOOKUP(B71,'[1]Snow Pre-Treatment - CCC - FY26'!$C:$C,'[1]Snow Pre-Treatment - CCC - FY26'!$G:$G)</f>
        <v>CSPT - 230126-30518</v>
      </c>
      <c r="K71" s="2"/>
      <c r="L71" s="2" t="s">
        <v>26</v>
      </c>
      <c r="M71" s="2" t="s">
        <v>27</v>
      </c>
      <c r="N71" s="2" t="s">
        <v>28</v>
      </c>
      <c r="O71" s="2" t="s">
        <v>28</v>
      </c>
      <c r="P71" s="2" t="s">
        <v>27</v>
      </c>
      <c r="Q71" s="2" t="s">
        <v>27</v>
      </c>
      <c r="R71" s="2" t="s">
        <v>27</v>
      </c>
      <c r="S71" s="2" t="s">
        <v>27</v>
      </c>
      <c r="T71" s="3">
        <v>1</v>
      </c>
      <c r="U71" s="2" t="s">
        <v>38</v>
      </c>
      <c r="V71" s="2" t="s">
        <v>26</v>
      </c>
    </row>
    <row r="72" spans="1:22" ht="15.6" x14ac:dyDescent="0.3">
      <c r="A72" s="2" t="s">
        <v>265</v>
      </c>
      <c r="B72" s="2" t="s">
        <v>266</v>
      </c>
      <c r="C72" s="2" t="s">
        <v>26</v>
      </c>
      <c r="D72" s="3">
        <v>1</v>
      </c>
      <c r="E72" s="4"/>
      <c r="F72" s="2" t="s">
        <v>22</v>
      </c>
      <c r="G72" s="2" t="s">
        <v>23</v>
      </c>
      <c r="H72" s="5" t="s">
        <v>170</v>
      </c>
      <c r="I72" s="2" t="s">
        <v>267</v>
      </c>
      <c r="J72" s="2" t="str">
        <f>_xlfn.XLOOKUP(B72,'[1]Snow Pre-Treatment - CCC - FY26'!$C:$C,'[1]Snow Pre-Treatment - CCC - FY26'!$G:$G)</f>
        <v>CSPT - 230126-30502</v>
      </c>
      <c r="K72" s="2"/>
      <c r="L72" s="2" t="s">
        <v>21</v>
      </c>
      <c r="M72" s="2" t="s">
        <v>27</v>
      </c>
      <c r="N72" s="2" t="s">
        <v>28</v>
      </c>
      <c r="O72" s="2" t="s">
        <v>28</v>
      </c>
      <c r="P72" s="2" t="s">
        <v>27</v>
      </c>
      <c r="Q72" s="2" t="s">
        <v>27</v>
      </c>
      <c r="R72" s="2" t="s">
        <v>27</v>
      </c>
      <c r="S72" s="2" t="s">
        <v>27</v>
      </c>
      <c r="T72" s="3">
        <v>1</v>
      </c>
      <c r="U72" s="2" t="s">
        <v>149</v>
      </c>
      <c r="V72" s="2" t="s">
        <v>21</v>
      </c>
    </row>
    <row r="73" spans="1:22" ht="15.6" x14ac:dyDescent="0.3">
      <c r="A73" s="2" t="s">
        <v>268</v>
      </c>
      <c r="B73" s="2" t="s">
        <v>269</v>
      </c>
      <c r="C73" s="2" t="s">
        <v>26</v>
      </c>
      <c r="D73" s="3">
        <v>1</v>
      </c>
      <c r="E73" s="4"/>
      <c r="F73" s="2" t="s">
        <v>22</v>
      </c>
      <c r="G73" s="2" t="s">
        <v>23</v>
      </c>
      <c r="H73" s="5" t="s">
        <v>170</v>
      </c>
      <c r="I73" s="2" t="s">
        <v>270</v>
      </c>
      <c r="J73" s="2" t="str">
        <f>_xlfn.XLOOKUP(B73,'[1]Snow Pre-Treatment - CCC - FY26'!$C:$C,'[1]Snow Pre-Treatment - CCC - FY26'!$G:$G)</f>
        <v>CSPT - 230126-30504</v>
      </c>
      <c r="K73" s="2"/>
      <c r="L73" s="2" t="s">
        <v>21</v>
      </c>
      <c r="M73" s="2" t="s">
        <v>27</v>
      </c>
      <c r="N73" s="2" t="s">
        <v>28</v>
      </c>
      <c r="O73" s="2" t="s">
        <v>28</v>
      </c>
      <c r="P73" s="2" t="s">
        <v>27</v>
      </c>
      <c r="Q73" s="2" t="s">
        <v>27</v>
      </c>
      <c r="R73" s="2" t="s">
        <v>27</v>
      </c>
      <c r="S73" s="2" t="s">
        <v>27</v>
      </c>
      <c r="T73" s="3">
        <v>1</v>
      </c>
      <c r="U73" s="2" t="s">
        <v>149</v>
      </c>
      <c r="V73" s="2" t="s">
        <v>21</v>
      </c>
    </row>
    <row r="74" spans="1:22" ht="15.6" x14ac:dyDescent="0.3">
      <c r="A74" s="2" t="s">
        <v>271</v>
      </c>
      <c r="B74" s="2" t="s">
        <v>272</v>
      </c>
      <c r="C74" s="2" t="s">
        <v>26</v>
      </c>
      <c r="D74" s="3">
        <v>1</v>
      </c>
      <c r="E74" s="4"/>
      <c r="F74" s="2" t="s">
        <v>22</v>
      </c>
      <c r="G74" s="2" t="s">
        <v>23</v>
      </c>
      <c r="H74" s="5" t="s">
        <v>170</v>
      </c>
      <c r="I74" s="2" t="s">
        <v>273</v>
      </c>
      <c r="J74" s="2" t="str">
        <f>_xlfn.XLOOKUP(B74,'[1]Snow Pre-Treatment - CCC - FY26'!$C:$C,'[1]Snow Pre-Treatment - CCC - FY26'!$G:$G)</f>
        <v>CSPT - 230126-30508</v>
      </c>
      <c r="K74" s="2"/>
      <c r="L74" s="2" t="s">
        <v>21</v>
      </c>
      <c r="M74" s="2" t="s">
        <v>27</v>
      </c>
      <c r="N74" s="2" t="s">
        <v>27</v>
      </c>
      <c r="O74" s="2" t="s">
        <v>28</v>
      </c>
      <c r="P74" s="2" t="s">
        <v>27</v>
      </c>
      <c r="Q74" s="2" t="s">
        <v>27</v>
      </c>
      <c r="R74" s="2" t="s">
        <v>27</v>
      </c>
      <c r="S74" s="2" t="s">
        <v>27</v>
      </c>
      <c r="T74" s="3">
        <v>1</v>
      </c>
      <c r="U74" s="2" t="s">
        <v>149</v>
      </c>
      <c r="V74" s="2" t="s">
        <v>21</v>
      </c>
    </row>
    <row r="75" spans="1:22" ht="15.6" x14ac:dyDescent="0.3">
      <c r="A75" s="2" t="s">
        <v>274</v>
      </c>
      <c r="B75" s="2" t="s">
        <v>275</v>
      </c>
      <c r="C75" s="2" t="s">
        <v>37</v>
      </c>
      <c r="D75" s="3">
        <v>1</v>
      </c>
      <c r="E75" s="4"/>
      <c r="F75" s="2" t="s">
        <v>22</v>
      </c>
      <c r="G75" s="2" t="s">
        <v>23</v>
      </c>
      <c r="H75" s="5" t="s">
        <v>276</v>
      </c>
      <c r="I75" s="2" t="s">
        <v>277</v>
      </c>
      <c r="J75" s="2" t="str">
        <f>_xlfn.XLOOKUP(B75,'[1]Snow Pre-Treatment - CCC - FY26'!$C:$C,'[1]Snow Pre-Treatment - CCC - FY26'!$G:$G)</f>
        <v>CSPT - 230126-30501</v>
      </c>
      <c r="K75" s="2"/>
      <c r="L75" s="2" t="s">
        <v>21</v>
      </c>
      <c r="M75" s="2" t="s">
        <v>27</v>
      </c>
      <c r="N75" s="2" t="s">
        <v>28</v>
      </c>
      <c r="O75" s="2" t="s">
        <v>28</v>
      </c>
      <c r="P75" s="2" t="s">
        <v>27</v>
      </c>
      <c r="Q75" s="2" t="s">
        <v>27</v>
      </c>
      <c r="R75" s="2" t="s">
        <v>27</v>
      </c>
      <c r="S75" s="2" t="s">
        <v>27</v>
      </c>
      <c r="T75" s="3">
        <v>1</v>
      </c>
      <c r="U75" s="2" t="s">
        <v>149</v>
      </c>
      <c r="V75" s="2" t="s">
        <v>21</v>
      </c>
    </row>
    <row r="76" spans="1:22" ht="15.6" x14ac:dyDescent="0.3">
      <c r="A76" s="2" t="s">
        <v>278</v>
      </c>
      <c r="B76" s="2" t="s">
        <v>279</v>
      </c>
      <c r="C76" s="2" t="s">
        <v>37</v>
      </c>
      <c r="D76" s="3">
        <v>1</v>
      </c>
      <c r="E76" s="4"/>
      <c r="F76" s="2" t="s">
        <v>22</v>
      </c>
      <c r="G76" s="2" t="s">
        <v>23</v>
      </c>
      <c r="H76" s="5" t="s">
        <v>193</v>
      </c>
      <c r="I76" s="2" t="s">
        <v>280</v>
      </c>
      <c r="J76" s="2" t="str">
        <f>_xlfn.XLOOKUP(B76,'[1]Snow Pre-Treatment - CCC - FY26'!$C:$C,'[1]Snow Pre-Treatment - CCC - FY26'!$G:$G)</f>
        <v>CSPT - 230126-30697</v>
      </c>
      <c r="K76" s="2"/>
      <c r="L76" s="2" t="s">
        <v>26</v>
      </c>
      <c r="M76" s="2" t="s">
        <v>27</v>
      </c>
      <c r="N76" s="2" t="s">
        <v>27</v>
      </c>
      <c r="O76" s="2" t="s">
        <v>28</v>
      </c>
      <c r="P76" s="2" t="s">
        <v>27</v>
      </c>
      <c r="Q76" s="2" t="s">
        <v>27</v>
      </c>
      <c r="R76" s="2" t="s">
        <v>27</v>
      </c>
      <c r="S76" s="2" t="s">
        <v>27</v>
      </c>
      <c r="T76" s="3">
        <v>1</v>
      </c>
      <c r="U76" s="2" t="s">
        <v>29</v>
      </c>
      <c r="V76" s="2" t="s">
        <v>26</v>
      </c>
    </row>
    <row r="77" spans="1:22" ht="15.6" x14ac:dyDescent="0.3">
      <c r="A77" s="2" t="s">
        <v>281</v>
      </c>
      <c r="B77" s="2" t="s">
        <v>282</v>
      </c>
      <c r="C77" s="2" t="s">
        <v>37</v>
      </c>
      <c r="D77" s="3">
        <v>1</v>
      </c>
      <c r="E77" s="4"/>
      <c r="F77" s="2" t="s">
        <v>22</v>
      </c>
      <c r="G77" s="2" t="s">
        <v>23</v>
      </c>
      <c r="H77" s="5" t="s">
        <v>193</v>
      </c>
      <c r="I77" s="2" t="s">
        <v>283</v>
      </c>
      <c r="J77" s="2" t="str">
        <f>_xlfn.XLOOKUP(B77,'[1]Snow Pre-Treatment - CCC - FY26'!$C:$C,'[1]Snow Pre-Treatment - CCC - FY26'!$G:$G)</f>
        <v>CSPT - 230126-30695</v>
      </c>
      <c r="K77" s="2"/>
      <c r="L77" s="2" t="s">
        <v>26</v>
      </c>
      <c r="M77" s="2" t="s">
        <v>27</v>
      </c>
      <c r="N77" s="2" t="s">
        <v>27</v>
      </c>
      <c r="O77" s="2" t="s">
        <v>28</v>
      </c>
      <c r="P77" s="2" t="s">
        <v>27</v>
      </c>
      <c r="Q77" s="2" t="s">
        <v>27</v>
      </c>
      <c r="R77" s="2" t="s">
        <v>27</v>
      </c>
      <c r="S77" s="2" t="s">
        <v>27</v>
      </c>
      <c r="T77" s="3">
        <v>1</v>
      </c>
      <c r="U77" s="2" t="s">
        <v>29</v>
      </c>
      <c r="V77" s="2" t="s">
        <v>26</v>
      </c>
    </row>
    <row r="78" spans="1:22" ht="15.6" x14ac:dyDescent="0.3">
      <c r="A78" s="2" t="s">
        <v>284</v>
      </c>
      <c r="B78" s="2" t="s">
        <v>285</v>
      </c>
      <c r="C78" s="2" t="s">
        <v>37</v>
      </c>
      <c r="D78" s="3">
        <v>1</v>
      </c>
      <c r="E78" s="4"/>
      <c r="F78" s="2" t="s">
        <v>22</v>
      </c>
      <c r="G78" s="2" t="s">
        <v>23</v>
      </c>
      <c r="H78" s="5" t="s">
        <v>193</v>
      </c>
      <c r="I78" s="2" t="s">
        <v>286</v>
      </c>
      <c r="J78" s="2" t="str">
        <f>_xlfn.XLOOKUP(B78,'[1]Snow Pre-Treatment - CCC - FY26'!$C:$C,'[1]Snow Pre-Treatment - CCC - FY26'!$G:$G)</f>
        <v>CSPT - 230126-30694</v>
      </c>
      <c r="K78" s="2"/>
      <c r="L78" s="2" t="s">
        <v>26</v>
      </c>
      <c r="M78" s="2" t="s">
        <v>27</v>
      </c>
      <c r="N78" s="2" t="s">
        <v>28</v>
      </c>
      <c r="O78" s="2" t="s">
        <v>28</v>
      </c>
      <c r="P78" s="2" t="s">
        <v>27</v>
      </c>
      <c r="Q78" s="2" t="s">
        <v>27</v>
      </c>
      <c r="R78" s="2" t="s">
        <v>27</v>
      </c>
      <c r="S78" s="2" t="s">
        <v>27</v>
      </c>
      <c r="T78" s="3">
        <v>1</v>
      </c>
      <c r="U78" s="2" t="s">
        <v>29</v>
      </c>
      <c r="V78" s="2" t="s">
        <v>26</v>
      </c>
    </row>
    <row r="79" spans="1:22" ht="15.6" x14ac:dyDescent="0.3">
      <c r="A79" s="2" t="s">
        <v>287</v>
      </c>
      <c r="B79" s="2" t="s">
        <v>288</v>
      </c>
      <c r="C79" s="2" t="s">
        <v>37</v>
      </c>
      <c r="D79" s="3">
        <v>1</v>
      </c>
      <c r="E79" s="4"/>
      <c r="F79" s="2" t="s">
        <v>22</v>
      </c>
      <c r="G79" s="2" t="s">
        <v>23</v>
      </c>
      <c r="H79" s="5" t="s">
        <v>193</v>
      </c>
      <c r="I79" s="2" t="s">
        <v>289</v>
      </c>
      <c r="J79" s="2" t="str">
        <f>_xlfn.XLOOKUP(B79,'[1]Snow Pre-Treatment - CCC - FY26'!$C:$C,'[1]Snow Pre-Treatment - CCC - FY26'!$G:$G)</f>
        <v>CSPT - 230126-30696</v>
      </c>
      <c r="K79" s="2"/>
      <c r="L79" s="2" t="s">
        <v>26</v>
      </c>
      <c r="M79" s="2" t="s">
        <v>27</v>
      </c>
      <c r="N79" s="2" t="s">
        <v>27</v>
      </c>
      <c r="O79" s="2" t="s">
        <v>28</v>
      </c>
      <c r="P79" s="2" t="s">
        <v>27</v>
      </c>
      <c r="Q79" s="2" t="s">
        <v>27</v>
      </c>
      <c r="R79" s="2" t="s">
        <v>27</v>
      </c>
      <c r="S79" s="2" t="s">
        <v>27</v>
      </c>
      <c r="T79" s="3">
        <v>1</v>
      </c>
      <c r="U79" s="2" t="s">
        <v>29</v>
      </c>
      <c r="V79" s="2" t="s">
        <v>26</v>
      </c>
    </row>
    <row r="80" spans="1:22" ht="15.6" x14ac:dyDescent="0.3">
      <c r="A80" s="2" t="s">
        <v>290</v>
      </c>
      <c r="B80" s="2" t="s">
        <v>291</v>
      </c>
      <c r="C80" s="2" t="s">
        <v>37</v>
      </c>
      <c r="D80" s="3">
        <v>1</v>
      </c>
      <c r="E80" s="4"/>
      <c r="F80" s="2" t="s">
        <v>22</v>
      </c>
      <c r="G80" s="2" t="s">
        <v>23</v>
      </c>
      <c r="H80" s="5" t="s">
        <v>193</v>
      </c>
      <c r="I80" s="2" t="s">
        <v>292</v>
      </c>
      <c r="J80" s="2" t="str">
        <f>_xlfn.XLOOKUP(B80,'[1]Snow Pre-Treatment - CCC - FY26'!$C:$C,'[1]Snow Pre-Treatment - CCC - FY26'!$G:$G)</f>
        <v>CSPT - 230126-30698</v>
      </c>
      <c r="K80" s="2"/>
      <c r="L80" s="2" t="s">
        <v>26</v>
      </c>
      <c r="M80" s="2" t="s">
        <v>27</v>
      </c>
      <c r="N80" s="2" t="s">
        <v>27</v>
      </c>
      <c r="O80" s="2" t="s">
        <v>28</v>
      </c>
      <c r="P80" s="2" t="s">
        <v>27</v>
      </c>
      <c r="Q80" s="2" t="s">
        <v>27</v>
      </c>
      <c r="R80" s="2" t="s">
        <v>27</v>
      </c>
      <c r="S80" s="2" t="s">
        <v>27</v>
      </c>
      <c r="T80" s="3">
        <v>1</v>
      </c>
      <c r="U80" s="2" t="s">
        <v>29</v>
      </c>
      <c r="V80" s="2" t="s">
        <v>26</v>
      </c>
    </row>
    <row r="81" spans="1:22" ht="15.6" x14ac:dyDescent="0.3">
      <c r="A81" s="2" t="s">
        <v>293</v>
      </c>
      <c r="B81" s="2" t="s">
        <v>294</v>
      </c>
      <c r="C81" s="2" t="s">
        <v>37</v>
      </c>
      <c r="D81" s="3">
        <v>1</v>
      </c>
      <c r="E81" s="4"/>
      <c r="F81" s="2" t="s">
        <v>22</v>
      </c>
      <c r="G81" s="2" t="s">
        <v>23</v>
      </c>
      <c r="H81" s="5" t="s">
        <v>203</v>
      </c>
      <c r="I81" s="2" t="s">
        <v>295</v>
      </c>
      <c r="J81" s="2" t="str">
        <f>_xlfn.XLOOKUP(B81,'[1]Snow Pre-Treatment - CCC - FY26'!$C:$C,'[1]Snow Pre-Treatment - CCC - FY26'!$G:$G)</f>
        <v>CSPT - 230126-30699</v>
      </c>
      <c r="K81" s="2"/>
      <c r="L81" s="2" t="s">
        <v>26</v>
      </c>
      <c r="M81" s="2" t="s">
        <v>27</v>
      </c>
      <c r="N81" s="2" t="s">
        <v>27</v>
      </c>
      <c r="O81" s="2" t="s">
        <v>28</v>
      </c>
      <c r="P81" s="2" t="s">
        <v>27</v>
      </c>
      <c r="Q81" s="2" t="s">
        <v>27</v>
      </c>
      <c r="R81" s="2" t="s">
        <v>27</v>
      </c>
      <c r="S81" s="2" t="s">
        <v>27</v>
      </c>
      <c r="T81" s="3">
        <v>1</v>
      </c>
      <c r="U81" s="2" t="s">
        <v>29</v>
      </c>
      <c r="V81" s="2" t="s">
        <v>26</v>
      </c>
    </row>
    <row r="82" spans="1:22" ht="15.6" x14ac:dyDescent="0.3">
      <c r="A82" s="2" t="s">
        <v>296</v>
      </c>
      <c r="B82" s="2" t="s">
        <v>297</v>
      </c>
      <c r="C82" s="2" t="s">
        <v>37</v>
      </c>
      <c r="D82" s="3">
        <v>1</v>
      </c>
      <c r="E82" s="4"/>
      <c r="F82" s="2" t="s">
        <v>22</v>
      </c>
      <c r="G82" s="2" t="s">
        <v>23</v>
      </c>
      <c r="H82" s="5" t="s">
        <v>203</v>
      </c>
      <c r="I82" s="2" t="s">
        <v>298</v>
      </c>
      <c r="J82" s="2" t="str">
        <f>_xlfn.XLOOKUP(B82,'[1]Snow Pre-Treatment - CCC - FY26'!$C:$C,'[1]Snow Pre-Treatment - CCC - FY26'!$G:$G)</f>
        <v>CSPT - 230126-30700</v>
      </c>
      <c r="K82" s="2"/>
      <c r="L82" s="2" t="s">
        <v>26</v>
      </c>
      <c r="M82" s="2" t="s">
        <v>27</v>
      </c>
      <c r="N82" s="2" t="s">
        <v>27</v>
      </c>
      <c r="O82" s="2" t="s">
        <v>28</v>
      </c>
      <c r="P82" s="2" t="s">
        <v>27</v>
      </c>
      <c r="Q82" s="2" t="s">
        <v>27</v>
      </c>
      <c r="R82" s="2" t="s">
        <v>27</v>
      </c>
      <c r="S82" s="2" t="s">
        <v>27</v>
      </c>
      <c r="T82" s="3">
        <v>1</v>
      </c>
      <c r="U82" s="2" t="s">
        <v>29</v>
      </c>
      <c r="V82" s="2" t="s">
        <v>26</v>
      </c>
    </row>
    <row r="83" spans="1:22" ht="15.6" x14ac:dyDescent="0.3">
      <c r="A83" s="2" t="s">
        <v>299</v>
      </c>
      <c r="B83" s="2" t="s">
        <v>300</v>
      </c>
      <c r="C83" s="2" t="s">
        <v>37</v>
      </c>
      <c r="D83" s="3">
        <v>1</v>
      </c>
      <c r="E83" s="4"/>
      <c r="F83" s="2" t="s">
        <v>22</v>
      </c>
      <c r="G83" s="2" t="s">
        <v>23</v>
      </c>
      <c r="H83" s="5" t="s">
        <v>203</v>
      </c>
      <c r="I83" s="2" t="s">
        <v>301</v>
      </c>
      <c r="J83" s="2" t="str">
        <f>_xlfn.XLOOKUP(B83,'[1]Snow Pre-Treatment - CCC - FY26'!$C:$C,'[1]Snow Pre-Treatment - CCC - FY26'!$G:$G)</f>
        <v>CSPT - 230126-30702</v>
      </c>
      <c r="K83" s="2"/>
      <c r="L83" s="2" t="s">
        <v>26</v>
      </c>
      <c r="M83" s="2" t="s">
        <v>27</v>
      </c>
      <c r="N83" s="2" t="s">
        <v>28</v>
      </c>
      <c r="O83" s="2" t="s">
        <v>28</v>
      </c>
      <c r="P83" s="2" t="s">
        <v>27</v>
      </c>
      <c r="Q83" s="2" t="s">
        <v>27</v>
      </c>
      <c r="R83" s="2" t="s">
        <v>27</v>
      </c>
      <c r="S83" s="2" t="s">
        <v>27</v>
      </c>
      <c r="T83" s="3">
        <v>1</v>
      </c>
      <c r="U83" s="2" t="s">
        <v>29</v>
      </c>
      <c r="V83" s="2" t="s">
        <v>26</v>
      </c>
    </row>
    <row r="84" spans="1:22" ht="15.6" x14ac:dyDescent="0.3">
      <c r="A84" s="2" t="s">
        <v>302</v>
      </c>
      <c r="B84" s="2" t="s">
        <v>303</v>
      </c>
      <c r="C84" s="2" t="s">
        <v>37</v>
      </c>
      <c r="D84" s="3">
        <v>1</v>
      </c>
      <c r="E84" s="4"/>
      <c r="F84" s="2" t="s">
        <v>22</v>
      </c>
      <c r="G84" s="2" t="s">
        <v>23</v>
      </c>
      <c r="H84" s="5" t="s">
        <v>203</v>
      </c>
      <c r="I84" s="2" t="s">
        <v>304</v>
      </c>
      <c r="J84" s="2" t="str">
        <f>_xlfn.XLOOKUP(B84,'[1]Snow Pre-Treatment - CCC - FY26'!$C:$C,'[1]Snow Pre-Treatment - CCC - FY26'!$G:$G)</f>
        <v>CSPT - 230126-30707</v>
      </c>
      <c r="K84" s="2"/>
      <c r="L84" s="2" t="s">
        <v>26</v>
      </c>
      <c r="M84" s="2" t="s">
        <v>27</v>
      </c>
      <c r="N84" s="2" t="s">
        <v>27</v>
      </c>
      <c r="O84" s="2" t="s">
        <v>28</v>
      </c>
      <c r="P84" s="2" t="s">
        <v>27</v>
      </c>
      <c r="Q84" s="2" t="s">
        <v>27</v>
      </c>
      <c r="R84" s="2" t="s">
        <v>27</v>
      </c>
      <c r="S84" s="2" t="s">
        <v>27</v>
      </c>
      <c r="T84" s="3">
        <v>1</v>
      </c>
      <c r="U84" s="2" t="s">
        <v>29</v>
      </c>
      <c r="V84" s="2" t="s">
        <v>26</v>
      </c>
    </row>
    <row r="85" spans="1:22" ht="15.6" x14ac:dyDescent="0.3">
      <c r="A85" s="2" t="s">
        <v>305</v>
      </c>
      <c r="B85" s="2" t="s">
        <v>306</v>
      </c>
      <c r="C85" s="2" t="s">
        <v>37</v>
      </c>
      <c r="D85" s="3">
        <v>1</v>
      </c>
      <c r="E85" s="4"/>
      <c r="F85" s="2" t="s">
        <v>22</v>
      </c>
      <c r="G85" s="2" t="s">
        <v>23</v>
      </c>
      <c r="H85" s="5" t="s">
        <v>203</v>
      </c>
      <c r="I85" s="2" t="s">
        <v>307</v>
      </c>
      <c r="J85" s="2" t="str">
        <f>_xlfn.XLOOKUP(B85,'[1]Snow Pre-Treatment - CCC - FY26'!$C:$C,'[1]Snow Pre-Treatment - CCC - FY26'!$G:$G)</f>
        <v>CSPT - 230126-30705</v>
      </c>
      <c r="K85" s="2"/>
      <c r="L85" s="2" t="s">
        <v>26</v>
      </c>
      <c r="M85" s="2" t="s">
        <v>27</v>
      </c>
      <c r="N85" s="2" t="s">
        <v>27</v>
      </c>
      <c r="O85" s="2" t="s">
        <v>28</v>
      </c>
      <c r="P85" s="2" t="s">
        <v>27</v>
      </c>
      <c r="Q85" s="2" t="s">
        <v>27</v>
      </c>
      <c r="R85" s="2" t="s">
        <v>27</v>
      </c>
      <c r="S85" s="2" t="s">
        <v>27</v>
      </c>
      <c r="T85" s="3">
        <v>1</v>
      </c>
      <c r="U85" s="2" t="s">
        <v>29</v>
      </c>
      <c r="V85" s="2" t="s">
        <v>26</v>
      </c>
    </row>
    <row r="86" spans="1:22" ht="15.6" x14ac:dyDescent="0.3">
      <c r="A86" s="2" t="s">
        <v>308</v>
      </c>
      <c r="B86" s="2" t="s">
        <v>309</v>
      </c>
      <c r="C86" s="2" t="s">
        <v>37</v>
      </c>
      <c r="D86" s="3">
        <v>1</v>
      </c>
      <c r="E86" s="4"/>
      <c r="F86" s="2" t="s">
        <v>22</v>
      </c>
      <c r="G86" s="2" t="s">
        <v>23</v>
      </c>
      <c r="H86" s="5" t="s">
        <v>87</v>
      </c>
      <c r="I86" s="2" t="s">
        <v>310</v>
      </c>
      <c r="J86" s="2" t="str">
        <f>_xlfn.XLOOKUP(B86,'[1]Snow Pre-Treatment - CCC - FY26'!$C:$C,'[1]Snow Pre-Treatment - CCC - FY26'!$G:$G)</f>
        <v>CSPT - 230126-30485</v>
      </c>
      <c r="K86" s="2"/>
      <c r="L86" s="2" t="s">
        <v>21</v>
      </c>
      <c r="M86" s="2" t="s">
        <v>27</v>
      </c>
      <c r="N86" s="2" t="s">
        <v>28</v>
      </c>
      <c r="O86" s="2" t="s">
        <v>28</v>
      </c>
      <c r="P86" s="2" t="s">
        <v>27</v>
      </c>
      <c r="Q86" s="2" t="s">
        <v>27</v>
      </c>
      <c r="R86" s="2" t="s">
        <v>27</v>
      </c>
      <c r="S86" s="2" t="s">
        <v>27</v>
      </c>
      <c r="T86" s="3">
        <v>1</v>
      </c>
      <c r="U86" s="2" t="s">
        <v>46</v>
      </c>
      <c r="V86" s="2" t="s">
        <v>21</v>
      </c>
    </row>
    <row r="87" spans="1:22" ht="15.6" x14ac:dyDescent="0.3">
      <c r="A87" s="2" t="s">
        <v>311</v>
      </c>
      <c r="B87" s="2" t="s">
        <v>312</v>
      </c>
      <c r="C87" s="2" t="s">
        <v>37</v>
      </c>
      <c r="D87" s="3">
        <v>1</v>
      </c>
      <c r="E87" s="4"/>
      <c r="F87" s="2" t="s">
        <v>22</v>
      </c>
      <c r="G87" s="2" t="s">
        <v>23</v>
      </c>
      <c r="H87" s="5" t="s">
        <v>24</v>
      </c>
      <c r="I87" s="2" t="s">
        <v>313</v>
      </c>
      <c r="J87" s="2" t="str">
        <f>_xlfn.XLOOKUP(B87,'[1]Snow Pre-Treatment - CCC - FY26'!$C:$C,'[1]Snow Pre-Treatment - CCC - FY26'!$G:$G)</f>
        <v>CSPT - 230126-30486</v>
      </c>
      <c r="K87" s="2"/>
      <c r="L87" s="2" t="s">
        <v>21</v>
      </c>
      <c r="M87" s="2" t="s">
        <v>27</v>
      </c>
      <c r="N87" s="2" t="s">
        <v>28</v>
      </c>
      <c r="O87" s="2" t="s">
        <v>28</v>
      </c>
      <c r="P87" s="2" t="s">
        <v>27</v>
      </c>
      <c r="Q87" s="2" t="s">
        <v>27</v>
      </c>
      <c r="R87" s="2" t="s">
        <v>27</v>
      </c>
      <c r="S87" s="2" t="s">
        <v>27</v>
      </c>
      <c r="T87" s="3">
        <v>1</v>
      </c>
      <c r="U87" s="2" t="s">
        <v>46</v>
      </c>
      <c r="V87" s="2" t="s">
        <v>21</v>
      </c>
    </row>
    <row r="88" spans="1:22" ht="15.6" x14ac:dyDescent="0.3">
      <c r="A88" s="2" t="s">
        <v>314</v>
      </c>
      <c r="B88" s="2" t="s">
        <v>315</v>
      </c>
      <c r="C88" s="2" t="s">
        <v>37</v>
      </c>
      <c r="D88" s="3">
        <v>1</v>
      </c>
      <c r="E88" s="4"/>
      <c r="F88" s="2" t="s">
        <v>22</v>
      </c>
      <c r="G88" s="2" t="s">
        <v>23</v>
      </c>
      <c r="H88" s="5" t="s">
        <v>94</v>
      </c>
      <c r="I88" s="2" t="s">
        <v>316</v>
      </c>
      <c r="J88" s="2" t="str">
        <f>_xlfn.XLOOKUP(B88,'[1]Snow Pre-Treatment - CCC - FY26'!$C:$C,'[1]Snow Pre-Treatment - CCC - FY26'!$G:$G)</f>
        <v>CSPT - 230126-30490</v>
      </c>
      <c r="K88" s="2"/>
      <c r="L88" s="2" t="s">
        <v>21</v>
      </c>
      <c r="M88" s="2" t="s">
        <v>27</v>
      </c>
      <c r="N88" s="2" t="s">
        <v>28</v>
      </c>
      <c r="O88" s="2" t="s">
        <v>28</v>
      </c>
      <c r="P88" s="2" t="s">
        <v>27</v>
      </c>
      <c r="Q88" s="2" t="s">
        <v>27</v>
      </c>
      <c r="R88" s="2" t="s">
        <v>27</v>
      </c>
      <c r="S88" s="2" t="s">
        <v>27</v>
      </c>
      <c r="T88" s="3">
        <v>1</v>
      </c>
      <c r="U88" s="2" t="s">
        <v>46</v>
      </c>
      <c r="V88" s="2" t="s">
        <v>21</v>
      </c>
    </row>
    <row r="89" spans="1:22" ht="15.6" x14ac:dyDescent="0.3">
      <c r="A89" s="2" t="s">
        <v>317</v>
      </c>
      <c r="B89" s="2" t="s">
        <v>318</v>
      </c>
      <c r="C89" s="2" t="s">
        <v>37</v>
      </c>
      <c r="D89" s="3">
        <v>1</v>
      </c>
      <c r="E89" s="4"/>
      <c r="F89" s="2" t="s">
        <v>22</v>
      </c>
      <c r="G89" s="2" t="s">
        <v>23</v>
      </c>
      <c r="H89" s="5" t="s">
        <v>109</v>
      </c>
      <c r="I89" s="2" t="s">
        <v>319</v>
      </c>
      <c r="J89" s="2" t="str">
        <f>_xlfn.XLOOKUP(B89,'[1]Snow Pre-Treatment - CCC - FY26'!$C:$C,'[1]Snow Pre-Treatment - CCC - FY26'!$G:$G)</f>
        <v>CSPT - 230126-30499</v>
      </c>
      <c r="K89" s="2"/>
      <c r="L89" s="2" t="s">
        <v>21</v>
      </c>
      <c r="M89" s="2" t="s">
        <v>27</v>
      </c>
      <c r="N89" s="2" t="s">
        <v>28</v>
      </c>
      <c r="O89" s="2" t="s">
        <v>28</v>
      </c>
      <c r="P89" s="2" t="s">
        <v>27</v>
      </c>
      <c r="Q89" s="2" t="s">
        <v>27</v>
      </c>
      <c r="R89" s="2" t="s">
        <v>27</v>
      </c>
      <c r="S89" s="2" t="s">
        <v>27</v>
      </c>
      <c r="T89" s="3">
        <v>1</v>
      </c>
      <c r="U89" s="2" t="s">
        <v>46</v>
      </c>
      <c r="V89" s="2" t="s">
        <v>21</v>
      </c>
    </row>
    <row r="90" spans="1:22" ht="15.6" x14ac:dyDescent="0.3">
      <c r="A90" s="2" t="s">
        <v>320</v>
      </c>
      <c r="B90" s="2" t="s">
        <v>321</v>
      </c>
      <c r="C90" s="2" t="s">
        <v>37</v>
      </c>
      <c r="D90" s="3">
        <v>1</v>
      </c>
      <c r="E90" s="4"/>
      <c r="F90" s="2" t="s">
        <v>22</v>
      </c>
      <c r="G90" s="2" t="s">
        <v>23</v>
      </c>
      <c r="H90" s="5" t="s">
        <v>113</v>
      </c>
      <c r="I90" s="2" t="s">
        <v>322</v>
      </c>
      <c r="J90" s="2" t="str">
        <f>_xlfn.XLOOKUP(B90,'[1]Snow Pre-Treatment - CCC - FY26'!$C:$C,'[1]Snow Pre-Treatment - CCC - FY26'!$G:$G)</f>
        <v>CSPT - 230126-30495</v>
      </c>
      <c r="K90" s="2"/>
      <c r="L90" s="2" t="s">
        <v>21</v>
      </c>
      <c r="M90" s="2" t="s">
        <v>27</v>
      </c>
      <c r="N90" s="2" t="s">
        <v>28</v>
      </c>
      <c r="O90" s="2" t="s">
        <v>28</v>
      </c>
      <c r="P90" s="2" t="s">
        <v>27</v>
      </c>
      <c r="Q90" s="2" t="s">
        <v>27</v>
      </c>
      <c r="R90" s="2" t="s">
        <v>27</v>
      </c>
      <c r="S90" s="2" t="s">
        <v>27</v>
      </c>
      <c r="T90" s="3">
        <v>1</v>
      </c>
      <c r="U90" s="2" t="s">
        <v>46</v>
      </c>
      <c r="V90" s="2" t="s">
        <v>21</v>
      </c>
    </row>
    <row r="91" spans="1:22" ht="15.6" x14ac:dyDescent="0.3">
      <c r="A91" s="2" t="s">
        <v>323</v>
      </c>
      <c r="B91" s="2" t="s">
        <v>324</v>
      </c>
      <c r="C91" s="2" t="s">
        <v>37</v>
      </c>
      <c r="D91" s="3">
        <v>1</v>
      </c>
      <c r="E91" s="4"/>
      <c r="F91" s="2" t="s">
        <v>22</v>
      </c>
      <c r="G91" s="2" t="s">
        <v>23</v>
      </c>
      <c r="H91" s="5" t="s">
        <v>113</v>
      </c>
      <c r="I91" s="2" t="s">
        <v>325</v>
      </c>
      <c r="J91" s="2" t="str">
        <f>_xlfn.XLOOKUP(B91,'[1]Snow Pre-Treatment - CCC - FY26'!$C:$C,'[1]Snow Pre-Treatment - CCC - FY26'!$G:$G)</f>
        <v>CSPT - 230126-30497</v>
      </c>
      <c r="K91" s="2"/>
      <c r="L91" s="2" t="s">
        <v>21</v>
      </c>
      <c r="M91" s="2" t="s">
        <v>27</v>
      </c>
      <c r="N91" s="2" t="s">
        <v>27</v>
      </c>
      <c r="O91" s="2" t="s">
        <v>28</v>
      </c>
      <c r="P91" s="2" t="s">
        <v>27</v>
      </c>
      <c r="Q91" s="2" t="s">
        <v>27</v>
      </c>
      <c r="R91" s="2" t="s">
        <v>27</v>
      </c>
      <c r="S91" s="2" t="s">
        <v>27</v>
      </c>
      <c r="T91" s="3">
        <v>1</v>
      </c>
      <c r="U91" s="2" t="s">
        <v>46</v>
      </c>
      <c r="V91" s="2" t="s">
        <v>21</v>
      </c>
    </row>
    <row r="92" spans="1:22" ht="15.6" x14ac:dyDescent="0.3">
      <c r="A92" s="2" t="s">
        <v>326</v>
      </c>
      <c r="B92" s="2" t="s">
        <v>327</v>
      </c>
      <c r="C92" s="2" t="s">
        <v>37</v>
      </c>
      <c r="D92" s="3">
        <v>1</v>
      </c>
      <c r="E92" s="4"/>
      <c r="F92" s="2" t="s">
        <v>22</v>
      </c>
      <c r="G92" s="2" t="s">
        <v>23</v>
      </c>
      <c r="H92" s="5" t="s">
        <v>109</v>
      </c>
      <c r="I92" s="2" t="s">
        <v>328</v>
      </c>
      <c r="J92" s="2" t="str">
        <f>_xlfn.XLOOKUP(B92,'[1]Snow Pre-Treatment - CCC - FY26'!$C:$C,'[1]Snow Pre-Treatment - CCC - FY26'!$G:$G)</f>
        <v>CSPT - 230126-30503</v>
      </c>
      <c r="K92" s="2"/>
      <c r="L92" s="2" t="s">
        <v>21</v>
      </c>
      <c r="M92" s="2" t="s">
        <v>27</v>
      </c>
      <c r="N92" s="2" t="s">
        <v>28</v>
      </c>
      <c r="O92" s="2" t="s">
        <v>28</v>
      </c>
      <c r="P92" s="2" t="s">
        <v>27</v>
      </c>
      <c r="Q92" s="2" t="s">
        <v>27</v>
      </c>
      <c r="R92" s="2" t="s">
        <v>27</v>
      </c>
      <c r="S92" s="2" t="s">
        <v>27</v>
      </c>
      <c r="T92" s="3">
        <v>1</v>
      </c>
      <c r="U92" s="2" t="s">
        <v>46</v>
      </c>
      <c r="V92" s="2" t="s">
        <v>21</v>
      </c>
    </row>
    <row r="93" spans="1:22" ht="15.6" x14ac:dyDescent="0.3">
      <c r="A93" s="2" t="s">
        <v>329</v>
      </c>
      <c r="B93" s="2" t="s">
        <v>330</v>
      </c>
      <c r="C93" s="2" t="s">
        <v>37</v>
      </c>
      <c r="D93" s="3">
        <v>1</v>
      </c>
      <c r="E93" s="4"/>
      <c r="F93" s="2" t="s">
        <v>22</v>
      </c>
      <c r="G93" s="2" t="s">
        <v>23</v>
      </c>
      <c r="H93" s="5" t="s">
        <v>125</v>
      </c>
      <c r="I93" s="2" t="s">
        <v>331</v>
      </c>
      <c r="J93" s="2" t="str">
        <f>_xlfn.XLOOKUP(B93,'[1]Snow Pre-Treatment - CCC - FY26'!$C:$C,'[1]Snow Pre-Treatment - CCC - FY26'!$G:$G)</f>
        <v>CSPT - 230126-30507</v>
      </c>
      <c r="K93" s="2"/>
      <c r="L93" s="2" t="s">
        <v>21</v>
      </c>
      <c r="M93" s="2" t="s">
        <v>27</v>
      </c>
      <c r="N93" s="2" t="s">
        <v>28</v>
      </c>
      <c r="O93" s="2" t="s">
        <v>28</v>
      </c>
      <c r="P93" s="2" t="s">
        <v>27</v>
      </c>
      <c r="Q93" s="2" t="s">
        <v>27</v>
      </c>
      <c r="R93" s="2" t="s">
        <v>27</v>
      </c>
      <c r="S93" s="2" t="s">
        <v>27</v>
      </c>
      <c r="T93" s="3">
        <v>1</v>
      </c>
      <c r="U93" s="2" t="s">
        <v>46</v>
      </c>
      <c r="V93" s="2" t="s">
        <v>21</v>
      </c>
    </row>
    <row r="94" spans="1:22" ht="15.6" x14ac:dyDescent="0.3">
      <c r="A94" s="2" t="s">
        <v>332</v>
      </c>
      <c r="B94" s="2" t="s">
        <v>333</v>
      </c>
      <c r="C94" s="2" t="s">
        <v>37</v>
      </c>
      <c r="D94" s="3">
        <v>1</v>
      </c>
      <c r="E94" s="4"/>
      <c r="F94" s="2" t="s">
        <v>22</v>
      </c>
      <c r="G94" s="2" t="s">
        <v>23</v>
      </c>
      <c r="H94" s="5" t="s">
        <v>125</v>
      </c>
      <c r="I94" s="2" t="s">
        <v>334</v>
      </c>
      <c r="J94" s="2" t="str">
        <f>_xlfn.XLOOKUP(B94,'[1]Snow Pre-Treatment - CCC - FY26'!$C:$C,'[1]Snow Pre-Treatment - CCC - FY26'!$G:$G)</f>
        <v>CSPT - 230126-30550</v>
      </c>
      <c r="K94" s="2"/>
      <c r="L94" s="2" t="s">
        <v>37</v>
      </c>
      <c r="M94" s="2" t="s">
        <v>27</v>
      </c>
      <c r="N94" s="2" t="s">
        <v>27</v>
      </c>
      <c r="O94" s="2" t="s">
        <v>28</v>
      </c>
      <c r="P94" s="2" t="s">
        <v>27</v>
      </c>
      <c r="Q94" s="2" t="s">
        <v>27</v>
      </c>
      <c r="R94" s="2" t="s">
        <v>27</v>
      </c>
      <c r="S94" s="2" t="s">
        <v>27</v>
      </c>
      <c r="T94" s="3">
        <v>1</v>
      </c>
      <c r="U94" s="2" t="s">
        <v>103</v>
      </c>
      <c r="V94" s="2" t="s">
        <v>37</v>
      </c>
    </row>
    <row r="95" spans="1:22" ht="15.6" x14ac:dyDescent="0.3">
      <c r="A95" s="2" t="s">
        <v>335</v>
      </c>
      <c r="B95" s="2" t="s">
        <v>336</v>
      </c>
      <c r="C95" s="2" t="s">
        <v>37</v>
      </c>
      <c r="D95" s="3">
        <v>1</v>
      </c>
      <c r="E95" s="4"/>
      <c r="F95" s="2" t="s">
        <v>22</v>
      </c>
      <c r="G95" s="2" t="s">
        <v>23</v>
      </c>
      <c r="H95" s="5" t="s">
        <v>125</v>
      </c>
      <c r="I95" s="2" t="s">
        <v>337</v>
      </c>
      <c r="J95" s="2" t="str">
        <f>_xlfn.XLOOKUP(B95,'[1]Snow Pre-Treatment - CCC - FY26'!$C:$C,'[1]Snow Pre-Treatment - CCC - FY26'!$G:$G)</f>
        <v>CSPT - 230126-30510</v>
      </c>
      <c r="K95" s="2"/>
      <c r="L95" s="2" t="s">
        <v>21</v>
      </c>
      <c r="M95" s="2" t="s">
        <v>27</v>
      </c>
      <c r="N95" s="2" t="s">
        <v>28</v>
      </c>
      <c r="O95" s="2" t="s">
        <v>28</v>
      </c>
      <c r="P95" s="2" t="s">
        <v>27</v>
      </c>
      <c r="Q95" s="2" t="s">
        <v>27</v>
      </c>
      <c r="R95" s="2" t="s">
        <v>27</v>
      </c>
      <c r="S95" s="2" t="s">
        <v>27</v>
      </c>
      <c r="T95" s="3">
        <v>1</v>
      </c>
      <c r="U95" s="2" t="s">
        <v>46</v>
      </c>
      <c r="V95" s="2" t="s">
        <v>21</v>
      </c>
    </row>
    <row r="96" spans="1:22" ht="15.6" x14ac:dyDescent="0.3">
      <c r="A96" s="2" t="s">
        <v>338</v>
      </c>
      <c r="B96" s="2" t="s">
        <v>339</v>
      </c>
      <c r="C96" s="2" t="s">
        <v>37</v>
      </c>
      <c r="D96" s="3">
        <v>1</v>
      </c>
      <c r="E96" s="4"/>
      <c r="F96" s="2" t="s">
        <v>22</v>
      </c>
      <c r="G96" s="2" t="s">
        <v>23</v>
      </c>
      <c r="H96" s="5" t="s">
        <v>125</v>
      </c>
      <c r="I96" s="2" t="s">
        <v>340</v>
      </c>
      <c r="J96" s="2" t="str">
        <f>_xlfn.XLOOKUP(B96,'[1]Snow Pre-Treatment - CCC - FY26'!$C:$C,'[1]Snow Pre-Treatment - CCC - FY26'!$G:$G)</f>
        <v>CSPT - 230126-30512</v>
      </c>
      <c r="K96" s="2"/>
      <c r="L96" s="2" t="s">
        <v>21</v>
      </c>
      <c r="M96" s="2" t="s">
        <v>27</v>
      </c>
      <c r="N96" s="2" t="s">
        <v>28</v>
      </c>
      <c r="O96" s="2" t="s">
        <v>28</v>
      </c>
      <c r="P96" s="2" t="s">
        <v>27</v>
      </c>
      <c r="Q96" s="2" t="s">
        <v>27</v>
      </c>
      <c r="R96" s="2" t="s">
        <v>27</v>
      </c>
      <c r="S96" s="2" t="s">
        <v>27</v>
      </c>
      <c r="T96" s="3">
        <v>1</v>
      </c>
      <c r="U96" s="2" t="s">
        <v>46</v>
      </c>
      <c r="V96" s="2" t="s">
        <v>21</v>
      </c>
    </row>
    <row r="97" spans="1:22" ht="15.6" x14ac:dyDescent="0.3">
      <c r="A97" s="2" t="s">
        <v>341</v>
      </c>
      <c r="B97" s="2" t="s">
        <v>342</v>
      </c>
      <c r="C97" s="2" t="s">
        <v>37</v>
      </c>
      <c r="D97" s="3">
        <v>1</v>
      </c>
      <c r="E97" s="4"/>
      <c r="F97" s="2" t="s">
        <v>22</v>
      </c>
      <c r="G97" s="2" t="s">
        <v>23</v>
      </c>
      <c r="H97" s="5" t="s">
        <v>135</v>
      </c>
      <c r="I97" s="2" t="s">
        <v>343</v>
      </c>
      <c r="J97" s="2" t="str">
        <f>_xlfn.XLOOKUP(B97,'[1]Snow Pre-Treatment - CCC - FY26'!$C:$C,'[1]Snow Pre-Treatment - CCC - FY26'!$G:$G)</f>
        <v>CSPT - 230126-30517</v>
      </c>
      <c r="K97" s="2"/>
      <c r="L97" s="2" t="s">
        <v>21</v>
      </c>
      <c r="M97" s="2" t="s">
        <v>27</v>
      </c>
      <c r="N97" s="2" t="s">
        <v>28</v>
      </c>
      <c r="O97" s="2" t="s">
        <v>28</v>
      </c>
      <c r="P97" s="2" t="s">
        <v>27</v>
      </c>
      <c r="Q97" s="2" t="s">
        <v>27</v>
      </c>
      <c r="R97" s="2" t="s">
        <v>27</v>
      </c>
      <c r="S97" s="2" t="s">
        <v>27</v>
      </c>
      <c r="T97" s="3">
        <v>1</v>
      </c>
      <c r="U97" s="2" t="s">
        <v>46</v>
      </c>
      <c r="V97" s="2" t="s">
        <v>21</v>
      </c>
    </row>
    <row r="98" spans="1:22" ht="15.6" x14ac:dyDescent="0.3">
      <c r="A98" s="2" t="s">
        <v>344</v>
      </c>
      <c r="B98" s="2" t="s">
        <v>345</v>
      </c>
      <c r="C98" s="2" t="s">
        <v>37</v>
      </c>
      <c r="D98" s="3">
        <v>1</v>
      </c>
      <c r="E98" s="4"/>
      <c r="F98" s="2" t="s">
        <v>22</v>
      </c>
      <c r="G98" s="2" t="s">
        <v>23</v>
      </c>
      <c r="H98" s="5" t="s">
        <v>101</v>
      </c>
      <c r="I98" s="2" t="s">
        <v>346</v>
      </c>
      <c r="J98" s="2" t="str">
        <f>_xlfn.XLOOKUP(B98,'[1]Snow Pre-Treatment - CCC - FY26'!$C:$C,'[1]Snow Pre-Treatment - CCC - FY26'!$G:$G)</f>
        <v>CSPT - 230126-30553</v>
      </c>
      <c r="K98" s="2"/>
      <c r="L98" s="2" t="s">
        <v>26</v>
      </c>
      <c r="M98" s="2" t="s">
        <v>27</v>
      </c>
      <c r="N98" s="2" t="s">
        <v>27</v>
      </c>
      <c r="O98" s="2" t="s">
        <v>28</v>
      </c>
      <c r="P98" s="2" t="s">
        <v>27</v>
      </c>
      <c r="Q98" s="2" t="s">
        <v>27</v>
      </c>
      <c r="R98" s="2" t="s">
        <v>27</v>
      </c>
      <c r="S98" s="2" t="s">
        <v>27</v>
      </c>
      <c r="T98" s="3">
        <v>1</v>
      </c>
      <c r="U98" s="2" t="s">
        <v>103</v>
      </c>
      <c r="V98" s="2" t="s">
        <v>26</v>
      </c>
    </row>
    <row r="99" spans="1:22" ht="15.6" x14ac:dyDescent="0.3">
      <c r="A99" s="2" t="s">
        <v>137</v>
      </c>
      <c r="B99" s="2" t="s">
        <v>347</v>
      </c>
      <c r="C99" s="2" t="s">
        <v>37</v>
      </c>
      <c r="D99" s="3">
        <v>1</v>
      </c>
      <c r="E99" s="4"/>
      <c r="F99" s="2" t="s">
        <v>22</v>
      </c>
      <c r="G99" s="2" t="s">
        <v>23</v>
      </c>
      <c r="H99" s="5" t="s">
        <v>101</v>
      </c>
      <c r="I99" s="2" t="s">
        <v>348</v>
      </c>
      <c r="J99" s="2" t="str">
        <f>_xlfn.XLOOKUP(B99,'[1]Snow Pre-Treatment - CCC - FY26'!$C:$C,'[1]Snow Pre-Treatment - CCC - FY26'!$G:$G)</f>
        <v>CSPT - 230126-30634</v>
      </c>
      <c r="K99" s="2"/>
      <c r="L99" s="2" t="s">
        <v>26</v>
      </c>
      <c r="M99" s="2" t="s">
        <v>27</v>
      </c>
      <c r="N99" s="2" t="s">
        <v>27</v>
      </c>
      <c r="O99" s="2" t="s">
        <v>28</v>
      </c>
      <c r="P99" s="2" t="s">
        <v>27</v>
      </c>
      <c r="Q99" s="2" t="s">
        <v>27</v>
      </c>
      <c r="R99" s="2" t="s">
        <v>27</v>
      </c>
      <c r="S99" s="2" t="s">
        <v>27</v>
      </c>
      <c r="T99" s="3">
        <v>1</v>
      </c>
      <c r="U99" s="2" t="s">
        <v>103</v>
      </c>
      <c r="V99" s="2" t="s">
        <v>26</v>
      </c>
    </row>
    <row r="100" spans="1:22" ht="15.6" x14ac:dyDescent="0.3">
      <c r="A100" s="2" t="s">
        <v>349</v>
      </c>
      <c r="B100" s="2" t="s">
        <v>350</v>
      </c>
      <c r="C100" s="2" t="s">
        <v>351</v>
      </c>
      <c r="D100" s="3">
        <v>1</v>
      </c>
      <c r="E100" s="4"/>
      <c r="F100" s="2" t="s">
        <v>22</v>
      </c>
      <c r="G100" s="2" t="s">
        <v>23</v>
      </c>
      <c r="H100" s="5" t="s">
        <v>79</v>
      </c>
      <c r="I100" s="2" t="s">
        <v>352</v>
      </c>
      <c r="J100" s="2" t="str">
        <f>_xlfn.XLOOKUP(B100,'[1]Snow Pre-Treatment - CCC - FY26'!$C:$C,'[1]Snow Pre-Treatment - CCC - FY26'!$G:$G)</f>
        <v>CSPT - 230126-30481</v>
      </c>
      <c r="K100" s="2"/>
      <c r="L100" s="2" t="s">
        <v>21</v>
      </c>
      <c r="M100" s="2" t="s">
        <v>27</v>
      </c>
      <c r="N100" s="2" t="s">
        <v>28</v>
      </c>
      <c r="O100" s="2" t="s">
        <v>28</v>
      </c>
      <c r="P100" s="2" t="s">
        <v>27</v>
      </c>
      <c r="Q100" s="2" t="s">
        <v>27</v>
      </c>
      <c r="R100" s="2" t="s">
        <v>27</v>
      </c>
      <c r="S100" s="2" t="s">
        <v>27</v>
      </c>
      <c r="T100" s="3">
        <v>1</v>
      </c>
      <c r="U100" s="2" t="s">
        <v>149</v>
      </c>
      <c r="V100" s="2" t="s">
        <v>21</v>
      </c>
    </row>
    <row r="101" spans="1:22" ht="15.6" x14ac:dyDescent="0.3">
      <c r="A101" s="2" t="s">
        <v>353</v>
      </c>
      <c r="B101" s="2" t="s">
        <v>354</v>
      </c>
      <c r="C101" s="2" t="s">
        <v>351</v>
      </c>
      <c r="D101" s="3">
        <v>1</v>
      </c>
      <c r="E101" s="4"/>
      <c r="F101" s="2" t="s">
        <v>22</v>
      </c>
      <c r="G101" s="2" t="s">
        <v>23</v>
      </c>
      <c r="H101" s="5" t="s">
        <v>185</v>
      </c>
      <c r="I101" s="2" t="s">
        <v>355</v>
      </c>
      <c r="J101" s="2" t="str">
        <f>_xlfn.XLOOKUP(B101,'[1]Snow Pre-Treatment - CCC - FY26'!$C:$C,'[1]Snow Pre-Treatment - CCC - FY26'!$G:$G)</f>
        <v>CSPT - 230126-30692</v>
      </c>
      <c r="K101" s="2"/>
      <c r="L101" s="2" t="s">
        <v>26</v>
      </c>
      <c r="M101" s="2" t="s">
        <v>27</v>
      </c>
      <c r="N101" s="2" t="s">
        <v>28</v>
      </c>
      <c r="O101" s="2" t="s">
        <v>28</v>
      </c>
      <c r="P101" s="2" t="s">
        <v>27</v>
      </c>
      <c r="Q101" s="2" t="s">
        <v>27</v>
      </c>
      <c r="R101" s="2" t="s">
        <v>27</v>
      </c>
      <c r="S101" s="2" t="s">
        <v>27</v>
      </c>
      <c r="T101" s="3">
        <v>1</v>
      </c>
      <c r="U101" s="2" t="s">
        <v>29</v>
      </c>
      <c r="V101" s="2" t="s">
        <v>26</v>
      </c>
    </row>
    <row r="102" spans="1:22" ht="15.6" x14ac:dyDescent="0.3">
      <c r="A102" s="2" t="s">
        <v>356</v>
      </c>
      <c r="B102" s="2" t="s">
        <v>357</v>
      </c>
      <c r="C102" s="2" t="s">
        <v>351</v>
      </c>
      <c r="D102" s="3">
        <v>1</v>
      </c>
      <c r="E102" s="4"/>
      <c r="F102" s="2" t="s">
        <v>22</v>
      </c>
      <c r="G102" s="2" t="s">
        <v>23</v>
      </c>
      <c r="H102" s="5" t="s">
        <v>185</v>
      </c>
      <c r="I102" s="2" t="s">
        <v>358</v>
      </c>
      <c r="J102" s="2" t="str">
        <f>_xlfn.XLOOKUP(B102,'[1]Snow Pre-Treatment - CCC - FY26'!$C:$C,'[1]Snow Pre-Treatment - CCC - FY26'!$G:$G)</f>
        <v>CSPT - 230126-30693</v>
      </c>
      <c r="K102" s="2"/>
      <c r="L102" s="2" t="s">
        <v>26</v>
      </c>
      <c r="M102" s="2" t="s">
        <v>27</v>
      </c>
      <c r="N102" s="2" t="s">
        <v>27</v>
      </c>
      <c r="O102" s="2" t="s">
        <v>28</v>
      </c>
      <c r="P102" s="2" t="s">
        <v>27</v>
      </c>
      <c r="Q102" s="2" t="s">
        <v>27</v>
      </c>
      <c r="R102" s="2" t="s">
        <v>27</v>
      </c>
      <c r="S102" s="2" t="s">
        <v>27</v>
      </c>
      <c r="T102" s="3">
        <v>1</v>
      </c>
      <c r="U102" s="2" t="s">
        <v>29</v>
      </c>
      <c r="V102" s="2" t="s">
        <v>26</v>
      </c>
    </row>
    <row r="103" spans="1:22" ht="15.6" x14ac:dyDescent="0.3">
      <c r="A103" s="2" t="s">
        <v>359</v>
      </c>
      <c r="B103" s="2" t="s">
        <v>360</v>
      </c>
      <c r="C103" s="2" t="s">
        <v>351</v>
      </c>
      <c r="D103" s="3">
        <v>1</v>
      </c>
      <c r="E103" s="4"/>
      <c r="F103" s="2" t="s">
        <v>22</v>
      </c>
      <c r="G103" s="2" t="s">
        <v>23</v>
      </c>
      <c r="H103" s="5" t="s">
        <v>189</v>
      </c>
      <c r="I103" s="2" t="s">
        <v>361</v>
      </c>
      <c r="J103" s="2" t="str">
        <f>_xlfn.XLOOKUP(B103,'[1]Snow Pre-Treatment - CCC - FY26'!$C:$C,'[1]Snow Pre-Treatment - CCC - FY26'!$G:$G)</f>
        <v>CSPT - 230126-30557</v>
      </c>
      <c r="K103" s="2"/>
      <c r="L103" s="2" t="s">
        <v>26</v>
      </c>
      <c r="M103" s="2" t="s">
        <v>27</v>
      </c>
      <c r="N103" s="2" t="s">
        <v>28</v>
      </c>
      <c r="O103" s="2" t="s">
        <v>28</v>
      </c>
      <c r="P103" s="2" t="s">
        <v>27</v>
      </c>
      <c r="Q103" s="2" t="s">
        <v>27</v>
      </c>
      <c r="R103" s="2" t="s">
        <v>27</v>
      </c>
      <c r="S103" s="2" t="s">
        <v>27</v>
      </c>
      <c r="T103" s="3">
        <v>1</v>
      </c>
      <c r="U103" s="2" t="s">
        <v>29</v>
      </c>
      <c r="V103" s="2" t="s">
        <v>26</v>
      </c>
    </row>
    <row r="104" spans="1:22" ht="15.6" x14ac:dyDescent="0.3">
      <c r="A104" s="2" t="s">
        <v>362</v>
      </c>
      <c r="B104" s="2" t="s">
        <v>363</v>
      </c>
      <c r="C104" s="2" t="s">
        <v>351</v>
      </c>
      <c r="D104" s="3">
        <v>1</v>
      </c>
      <c r="E104" s="4"/>
      <c r="F104" s="2" t="s">
        <v>22</v>
      </c>
      <c r="G104" s="2" t="s">
        <v>23</v>
      </c>
      <c r="H104" s="5" t="s">
        <v>189</v>
      </c>
      <c r="I104" s="2" t="s">
        <v>364</v>
      </c>
      <c r="J104" s="2" t="str">
        <f>_xlfn.XLOOKUP(B104,'[1]Snow Pre-Treatment - CCC - FY26'!$C:$C,'[1]Snow Pre-Treatment - CCC - FY26'!$G:$G)</f>
        <v>CSPT - 230126-30680</v>
      </c>
      <c r="K104" s="2"/>
      <c r="L104" s="2" t="s">
        <v>26</v>
      </c>
      <c r="M104" s="2" t="s">
        <v>27</v>
      </c>
      <c r="N104" s="2" t="s">
        <v>28</v>
      </c>
      <c r="O104" s="2" t="s">
        <v>28</v>
      </c>
      <c r="P104" s="2" t="s">
        <v>27</v>
      </c>
      <c r="Q104" s="2" t="s">
        <v>27</v>
      </c>
      <c r="R104" s="2" t="s">
        <v>27</v>
      </c>
      <c r="S104" s="2" t="s">
        <v>27</v>
      </c>
      <c r="T104" s="3">
        <v>1</v>
      </c>
      <c r="U104" s="2" t="s">
        <v>29</v>
      </c>
      <c r="V104" s="2" t="s">
        <v>26</v>
      </c>
    </row>
    <row r="105" spans="1:22" ht="15.6" x14ac:dyDescent="0.3">
      <c r="A105" s="2" t="s">
        <v>365</v>
      </c>
      <c r="B105" s="2" t="s">
        <v>366</v>
      </c>
      <c r="C105" s="2" t="s">
        <v>351</v>
      </c>
      <c r="D105" s="3">
        <v>1</v>
      </c>
      <c r="E105" s="4"/>
      <c r="F105" s="2" t="s">
        <v>22</v>
      </c>
      <c r="G105" s="2" t="s">
        <v>23</v>
      </c>
      <c r="H105" s="5" t="s">
        <v>189</v>
      </c>
      <c r="I105" s="2" t="s">
        <v>367</v>
      </c>
      <c r="J105" s="2" t="str">
        <f>_xlfn.XLOOKUP(B105,'[1]Snow Pre-Treatment - CCC - FY26'!$C:$C,'[1]Snow Pre-Treatment - CCC - FY26'!$G:$G)</f>
        <v>CSPT - 230126-30681</v>
      </c>
      <c r="K105" s="2"/>
      <c r="L105" s="2" t="s">
        <v>26</v>
      </c>
      <c r="M105" s="2" t="s">
        <v>27</v>
      </c>
      <c r="N105" s="2" t="s">
        <v>27</v>
      </c>
      <c r="O105" s="2" t="s">
        <v>28</v>
      </c>
      <c r="P105" s="2" t="s">
        <v>27</v>
      </c>
      <c r="Q105" s="2" t="s">
        <v>27</v>
      </c>
      <c r="R105" s="2" t="s">
        <v>27</v>
      </c>
      <c r="S105" s="2" t="s">
        <v>27</v>
      </c>
      <c r="T105" s="3">
        <v>1</v>
      </c>
      <c r="U105" s="2" t="s">
        <v>29</v>
      </c>
      <c r="V105" s="2" t="s">
        <v>26</v>
      </c>
    </row>
    <row r="106" spans="1:22" ht="15.6" x14ac:dyDescent="0.3">
      <c r="A106" s="2" t="s">
        <v>368</v>
      </c>
      <c r="B106" s="2" t="s">
        <v>369</v>
      </c>
      <c r="C106" s="2" t="s">
        <v>351</v>
      </c>
      <c r="D106" s="3">
        <v>1</v>
      </c>
      <c r="E106" s="4"/>
      <c r="F106" s="2" t="s">
        <v>22</v>
      </c>
      <c r="G106" s="2" t="s">
        <v>23</v>
      </c>
      <c r="H106" s="5" t="s">
        <v>189</v>
      </c>
      <c r="I106" s="2" t="s">
        <v>370</v>
      </c>
      <c r="J106" s="2" t="str">
        <f>_xlfn.XLOOKUP(B106,'[1]Snow Pre-Treatment - CCC - FY26'!$C:$C,'[1]Snow Pre-Treatment - CCC - FY26'!$G:$G)</f>
        <v>CSPT - 230126-30683</v>
      </c>
      <c r="K106" s="2"/>
      <c r="L106" s="2" t="s">
        <v>26</v>
      </c>
      <c r="M106" s="2" t="s">
        <v>27</v>
      </c>
      <c r="N106" s="2" t="s">
        <v>28</v>
      </c>
      <c r="O106" s="2" t="s">
        <v>28</v>
      </c>
      <c r="P106" s="2" t="s">
        <v>27</v>
      </c>
      <c r="Q106" s="2" t="s">
        <v>27</v>
      </c>
      <c r="R106" s="2" t="s">
        <v>27</v>
      </c>
      <c r="S106" s="2" t="s">
        <v>27</v>
      </c>
      <c r="T106" s="3">
        <v>1</v>
      </c>
      <c r="U106" s="2" t="s">
        <v>29</v>
      </c>
      <c r="V106" s="2" t="s">
        <v>26</v>
      </c>
    </row>
    <row r="107" spans="1:22" ht="15.6" x14ac:dyDescent="0.3">
      <c r="A107" s="2" t="s">
        <v>371</v>
      </c>
      <c r="B107" s="2" t="s">
        <v>372</v>
      </c>
      <c r="C107" s="2" t="s">
        <v>351</v>
      </c>
      <c r="D107" s="3">
        <v>1</v>
      </c>
      <c r="E107" s="4"/>
      <c r="F107" s="2" t="s">
        <v>22</v>
      </c>
      <c r="G107" s="2" t="s">
        <v>23</v>
      </c>
      <c r="H107" s="5" t="s">
        <v>189</v>
      </c>
      <c r="I107" s="2" t="s">
        <v>373</v>
      </c>
      <c r="J107" s="2" t="str">
        <f>_xlfn.XLOOKUP(B107,'[1]Snow Pre-Treatment - CCC - FY26'!$C:$C,'[1]Snow Pre-Treatment - CCC - FY26'!$G:$G)</f>
        <v>CSPT - 230126-30684</v>
      </c>
      <c r="K107" s="2"/>
      <c r="L107" s="2" t="s">
        <v>26</v>
      </c>
      <c r="M107" s="2" t="s">
        <v>27</v>
      </c>
      <c r="N107" s="2" t="s">
        <v>28</v>
      </c>
      <c r="O107" s="2" t="s">
        <v>28</v>
      </c>
      <c r="P107" s="2" t="s">
        <v>27</v>
      </c>
      <c r="Q107" s="2" t="s">
        <v>27</v>
      </c>
      <c r="R107" s="2" t="s">
        <v>27</v>
      </c>
      <c r="S107" s="2" t="s">
        <v>27</v>
      </c>
      <c r="T107" s="3">
        <v>1</v>
      </c>
      <c r="U107" s="2" t="s">
        <v>29</v>
      </c>
      <c r="V107" s="2" t="s">
        <v>26</v>
      </c>
    </row>
    <row r="108" spans="1:22" ht="15.6" x14ac:dyDescent="0.3">
      <c r="A108" s="2" t="s">
        <v>374</v>
      </c>
      <c r="B108" s="2" t="s">
        <v>375</v>
      </c>
      <c r="C108" s="2" t="s">
        <v>351</v>
      </c>
      <c r="D108" s="3">
        <v>1</v>
      </c>
      <c r="E108" s="4"/>
      <c r="F108" s="2" t="s">
        <v>22</v>
      </c>
      <c r="G108" s="2" t="s">
        <v>23</v>
      </c>
      <c r="H108" s="5" t="s">
        <v>181</v>
      </c>
      <c r="I108" s="2" t="s">
        <v>376</v>
      </c>
      <c r="J108" s="2" t="str">
        <f>_xlfn.XLOOKUP(B108,'[1]Snow Pre-Treatment - CCC - FY26'!$C:$C,'[1]Snow Pre-Treatment - CCC - FY26'!$G:$G)</f>
        <v>CSPT - 230126-30687</v>
      </c>
      <c r="K108" s="2"/>
      <c r="L108" s="2" t="s">
        <v>26</v>
      </c>
      <c r="M108" s="2" t="s">
        <v>27</v>
      </c>
      <c r="N108" s="2" t="s">
        <v>27</v>
      </c>
      <c r="O108" s="2" t="s">
        <v>28</v>
      </c>
      <c r="P108" s="2" t="s">
        <v>27</v>
      </c>
      <c r="Q108" s="2" t="s">
        <v>27</v>
      </c>
      <c r="R108" s="2" t="s">
        <v>27</v>
      </c>
      <c r="S108" s="2" t="s">
        <v>27</v>
      </c>
      <c r="T108" s="3">
        <v>1</v>
      </c>
      <c r="U108" s="2" t="s">
        <v>29</v>
      </c>
      <c r="V108" s="2" t="s">
        <v>26</v>
      </c>
    </row>
    <row r="109" spans="1:22" ht="15.6" x14ac:dyDescent="0.3">
      <c r="A109" s="2" t="s">
        <v>377</v>
      </c>
      <c r="B109" s="2" t="s">
        <v>378</v>
      </c>
      <c r="C109" s="2" t="s">
        <v>351</v>
      </c>
      <c r="D109" s="3">
        <v>1</v>
      </c>
      <c r="E109" s="4"/>
      <c r="F109" s="2" t="s">
        <v>22</v>
      </c>
      <c r="G109" s="2" t="s">
        <v>23</v>
      </c>
      <c r="H109" s="5" t="s">
        <v>181</v>
      </c>
      <c r="I109" s="2" t="s">
        <v>379</v>
      </c>
      <c r="J109" s="2" t="str">
        <f>_xlfn.XLOOKUP(B109,'[1]Snow Pre-Treatment - CCC - FY26'!$C:$C,'[1]Snow Pre-Treatment - CCC - FY26'!$G:$G)</f>
        <v>CSPT - 230126-30688</v>
      </c>
      <c r="K109" s="2"/>
      <c r="L109" s="2" t="s">
        <v>26</v>
      </c>
      <c r="M109" s="2" t="s">
        <v>27</v>
      </c>
      <c r="N109" s="2" t="s">
        <v>28</v>
      </c>
      <c r="O109" s="2" t="s">
        <v>28</v>
      </c>
      <c r="P109" s="2" t="s">
        <v>27</v>
      </c>
      <c r="Q109" s="2" t="s">
        <v>27</v>
      </c>
      <c r="R109" s="2" t="s">
        <v>27</v>
      </c>
      <c r="S109" s="2" t="s">
        <v>27</v>
      </c>
      <c r="T109" s="3">
        <v>1</v>
      </c>
      <c r="U109" s="2" t="s">
        <v>29</v>
      </c>
      <c r="V109" s="2" t="s">
        <v>26</v>
      </c>
    </row>
    <row r="110" spans="1:22" ht="15.6" x14ac:dyDescent="0.3">
      <c r="A110" s="2" t="s">
        <v>380</v>
      </c>
      <c r="B110" s="2" t="s">
        <v>381</v>
      </c>
      <c r="C110" s="2" t="s">
        <v>351</v>
      </c>
      <c r="D110" s="3">
        <v>1</v>
      </c>
      <c r="E110" s="4"/>
      <c r="F110" s="2" t="s">
        <v>22</v>
      </c>
      <c r="G110" s="2" t="s">
        <v>23</v>
      </c>
      <c r="H110" s="5" t="s">
        <v>181</v>
      </c>
      <c r="I110" s="2" t="s">
        <v>382</v>
      </c>
      <c r="J110" s="2" t="str">
        <f>_xlfn.XLOOKUP(B110,'[1]Snow Pre-Treatment - CCC - FY26'!$C:$C,'[1]Snow Pre-Treatment - CCC - FY26'!$G:$G)</f>
        <v>CSPT - 230126-30690</v>
      </c>
      <c r="K110" s="2"/>
      <c r="L110" s="2" t="s">
        <v>26</v>
      </c>
      <c r="M110" s="2" t="s">
        <v>27</v>
      </c>
      <c r="N110" s="2" t="s">
        <v>27</v>
      </c>
      <c r="O110" s="2" t="s">
        <v>28</v>
      </c>
      <c r="P110" s="2" t="s">
        <v>27</v>
      </c>
      <c r="Q110" s="2" t="s">
        <v>27</v>
      </c>
      <c r="R110" s="2" t="s">
        <v>27</v>
      </c>
      <c r="S110" s="2" t="s">
        <v>27</v>
      </c>
      <c r="T110" s="3">
        <v>1</v>
      </c>
      <c r="U110" s="2" t="s">
        <v>29</v>
      </c>
      <c r="V110" s="2" t="s">
        <v>26</v>
      </c>
    </row>
    <row r="111" spans="1:22" ht="15.6" x14ac:dyDescent="0.3">
      <c r="A111" s="2" t="s">
        <v>383</v>
      </c>
      <c r="B111" s="2" t="s">
        <v>384</v>
      </c>
      <c r="C111" s="2" t="s">
        <v>351</v>
      </c>
      <c r="D111" s="3">
        <v>1</v>
      </c>
      <c r="E111" s="4"/>
      <c r="F111" s="2" t="s">
        <v>22</v>
      </c>
      <c r="G111" s="2" t="s">
        <v>23</v>
      </c>
      <c r="H111" s="5" t="s">
        <v>181</v>
      </c>
      <c r="I111" s="2" t="s">
        <v>385</v>
      </c>
      <c r="J111" s="2" t="str">
        <f>_xlfn.XLOOKUP(B111,'[1]Snow Pre-Treatment - CCC - FY26'!$C:$C,'[1]Snow Pre-Treatment - CCC - FY26'!$G:$G)</f>
        <v>CSPT - 230126-30691</v>
      </c>
      <c r="K111" s="2"/>
      <c r="L111" s="2" t="s">
        <v>26</v>
      </c>
      <c r="M111" s="2" t="s">
        <v>27</v>
      </c>
      <c r="N111" s="2" t="s">
        <v>28</v>
      </c>
      <c r="O111" s="2" t="s">
        <v>28</v>
      </c>
      <c r="P111" s="2" t="s">
        <v>27</v>
      </c>
      <c r="Q111" s="2" t="s">
        <v>27</v>
      </c>
      <c r="R111" s="2" t="s">
        <v>27</v>
      </c>
      <c r="S111" s="2" t="s">
        <v>27</v>
      </c>
      <c r="T111" s="3">
        <v>1</v>
      </c>
      <c r="U111" s="2" t="s">
        <v>29</v>
      </c>
      <c r="V111" s="2" t="s">
        <v>26</v>
      </c>
    </row>
    <row r="112" spans="1:22" ht="15.6" x14ac:dyDescent="0.3">
      <c r="A112" s="2" t="s">
        <v>386</v>
      </c>
      <c r="B112" s="2" t="s">
        <v>387</v>
      </c>
      <c r="C112" s="2" t="s">
        <v>351</v>
      </c>
      <c r="D112" s="3">
        <v>1</v>
      </c>
      <c r="E112" s="4"/>
      <c r="F112" s="2" t="s">
        <v>22</v>
      </c>
      <c r="G112" s="2" t="s">
        <v>23</v>
      </c>
      <c r="H112" s="5" t="s">
        <v>87</v>
      </c>
      <c r="I112" s="2" t="s">
        <v>388</v>
      </c>
      <c r="J112" s="2" t="str">
        <f>_xlfn.XLOOKUP(B112,'[1]Snow Pre-Treatment - CCC - FY26'!$C:$C,'[1]Snow Pre-Treatment - CCC - FY26'!$G:$G)</f>
        <v>CSPT - 230126-30541</v>
      </c>
      <c r="K112" s="2"/>
      <c r="L112" s="2" t="s">
        <v>26</v>
      </c>
      <c r="M112" s="2" t="s">
        <v>27</v>
      </c>
      <c r="N112" s="2" t="s">
        <v>27</v>
      </c>
      <c r="O112" s="2" t="s">
        <v>28</v>
      </c>
      <c r="P112" s="2" t="s">
        <v>27</v>
      </c>
      <c r="Q112" s="2" t="s">
        <v>27</v>
      </c>
      <c r="R112" s="2" t="s">
        <v>27</v>
      </c>
      <c r="S112" s="2" t="s">
        <v>27</v>
      </c>
      <c r="T112" s="3">
        <v>1</v>
      </c>
      <c r="U112" s="2" t="s">
        <v>389</v>
      </c>
      <c r="V112" s="2" t="s">
        <v>26</v>
      </c>
    </row>
    <row r="113" spans="1:22" ht="15.6" x14ac:dyDescent="0.3">
      <c r="A113" s="2" t="s">
        <v>390</v>
      </c>
      <c r="B113" s="2" t="s">
        <v>391</v>
      </c>
      <c r="C113" s="2" t="s">
        <v>351</v>
      </c>
      <c r="D113" s="3">
        <v>1</v>
      </c>
      <c r="E113" s="4"/>
      <c r="F113" s="2" t="s">
        <v>22</v>
      </c>
      <c r="G113" s="2" t="s">
        <v>23</v>
      </c>
      <c r="H113" s="5" t="s">
        <v>392</v>
      </c>
      <c r="I113" s="2" t="s">
        <v>393</v>
      </c>
      <c r="J113" s="2" t="str">
        <f>_xlfn.XLOOKUP(B113,'[1]Snow Pre-Treatment - CCC - FY26'!$C:$C,'[1]Snow Pre-Treatment - CCC - FY26'!$G:$G)</f>
        <v>CSPT - 230126-30548</v>
      </c>
      <c r="K113" s="2"/>
      <c r="L113" s="2" t="s">
        <v>26</v>
      </c>
      <c r="M113" s="2" t="s">
        <v>27</v>
      </c>
      <c r="N113" s="2" t="s">
        <v>27</v>
      </c>
      <c r="O113" s="2" t="s">
        <v>28</v>
      </c>
      <c r="P113" s="2" t="s">
        <v>27</v>
      </c>
      <c r="Q113" s="2" t="s">
        <v>27</v>
      </c>
      <c r="R113" s="2" t="s">
        <v>27</v>
      </c>
      <c r="S113" s="2" t="s">
        <v>27</v>
      </c>
      <c r="T113" s="3">
        <v>1</v>
      </c>
      <c r="U113" s="2" t="s">
        <v>103</v>
      </c>
      <c r="V113" s="2" t="s">
        <v>26</v>
      </c>
    </row>
    <row r="114" spans="1:22" ht="15.6" x14ac:dyDescent="0.3">
      <c r="A114" s="2" t="s">
        <v>394</v>
      </c>
      <c r="B114" s="2" t="s">
        <v>395</v>
      </c>
      <c r="C114" s="2" t="s">
        <v>351</v>
      </c>
      <c r="D114" s="3">
        <v>1</v>
      </c>
      <c r="E114" s="4"/>
      <c r="F114" s="2" t="s">
        <v>22</v>
      </c>
      <c r="G114" s="2" t="s">
        <v>23</v>
      </c>
      <c r="H114" s="5" t="s">
        <v>101</v>
      </c>
      <c r="I114" s="2" t="s">
        <v>396</v>
      </c>
      <c r="J114" s="2" t="str">
        <f>_xlfn.XLOOKUP(B114,'[1]Snow Pre-Treatment - CCC - FY26'!$C:$C,'[1]Snow Pre-Treatment - CCC - FY26'!$G:$G)</f>
        <v>CSPT - 230126-30444</v>
      </c>
      <c r="K114" s="2"/>
      <c r="L114" s="2" t="s">
        <v>21</v>
      </c>
      <c r="M114" s="2" t="s">
        <v>27</v>
      </c>
      <c r="N114" s="2" t="s">
        <v>28</v>
      </c>
      <c r="O114" s="2" t="s">
        <v>28</v>
      </c>
      <c r="P114" s="2" t="s">
        <v>27</v>
      </c>
      <c r="Q114" s="2" t="s">
        <v>27</v>
      </c>
      <c r="R114" s="2" t="s">
        <v>27</v>
      </c>
      <c r="S114" s="2" t="s">
        <v>27</v>
      </c>
      <c r="T114" s="3">
        <v>1</v>
      </c>
      <c r="U114" s="2" t="s">
        <v>46</v>
      </c>
      <c r="V114" s="2" t="s">
        <v>21</v>
      </c>
    </row>
    <row r="115" spans="1:22" ht="15.6" x14ac:dyDescent="0.3">
      <c r="A115" s="2" t="s">
        <v>397</v>
      </c>
      <c r="B115" s="2" t="s">
        <v>398</v>
      </c>
      <c r="C115" s="2" t="s">
        <v>351</v>
      </c>
      <c r="D115" s="3">
        <v>1</v>
      </c>
      <c r="E115" s="4"/>
      <c r="F115" s="2" t="s">
        <v>22</v>
      </c>
      <c r="G115" s="2" t="s">
        <v>23</v>
      </c>
      <c r="H115" s="5" t="s">
        <v>392</v>
      </c>
      <c r="I115" s="2" t="s">
        <v>399</v>
      </c>
      <c r="J115" s="2" t="str">
        <f>_xlfn.XLOOKUP(B115,'[1]Snow Pre-Treatment - CCC - FY26'!$C:$C,'[1]Snow Pre-Treatment - CCC - FY26'!$G:$G)</f>
        <v>CSPT - 230126-30447</v>
      </c>
      <c r="K115" s="2"/>
      <c r="L115" s="2" t="s">
        <v>21</v>
      </c>
      <c r="M115" s="2" t="s">
        <v>27</v>
      </c>
      <c r="N115" s="2" t="s">
        <v>28</v>
      </c>
      <c r="O115" s="2" t="s">
        <v>28</v>
      </c>
      <c r="P115" s="2" t="s">
        <v>27</v>
      </c>
      <c r="Q115" s="2" t="s">
        <v>27</v>
      </c>
      <c r="R115" s="2" t="s">
        <v>27</v>
      </c>
      <c r="S115" s="2" t="s">
        <v>27</v>
      </c>
      <c r="T115" s="3">
        <v>1</v>
      </c>
      <c r="U115" s="2" t="s">
        <v>46</v>
      </c>
      <c r="V115" s="2" t="s">
        <v>21</v>
      </c>
    </row>
    <row r="116" spans="1:22" ht="15.6" x14ac:dyDescent="0.3">
      <c r="A116" s="2" t="s">
        <v>400</v>
      </c>
      <c r="B116" s="2" t="s">
        <v>401</v>
      </c>
      <c r="C116" s="2" t="s">
        <v>351</v>
      </c>
      <c r="D116" s="3">
        <v>1</v>
      </c>
      <c r="E116" s="4"/>
      <c r="F116" s="2" t="s">
        <v>22</v>
      </c>
      <c r="G116" s="2" t="s">
        <v>23</v>
      </c>
      <c r="H116" s="5" t="s">
        <v>392</v>
      </c>
      <c r="I116" s="2" t="s">
        <v>402</v>
      </c>
      <c r="J116" s="2" t="str">
        <f>_xlfn.XLOOKUP(B116,'[1]Snow Pre-Treatment - CCC - FY26'!$C:$C,'[1]Snow Pre-Treatment - CCC - FY26'!$G:$G)</f>
        <v>CSPT - 230126-30547</v>
      </c>
      <c r="K116" s="2"/>
      <c r="L116" s="2" t="s">
        <v>26</v>
      </c>
      <c r="M116" s="2" t="s">
        <v>27</v>
      </c>
      <c r="N116" s="2" t="s">
        <v>27</v>
      </c>
      <c r="O116" s="2" t="s">
        <v>28</v>
      </c>
      <c r="P116" s="2" t="s">
        <v>27</v>
      </c>
      <c r="Q116" s="2" t="s">
        <v>27</v>
      </c>
      <c r="R116" s="2" t="s">
        <v>27</v>
      </c>
      <c r="S116" s="2" t="s">
        <v>27</v>
      </c>
      <c r="T116" s="3">
        <v>1</v>
      </c>
      <c r="U116" s="2" t="s">
        <v>103</v>
      </c>
      <c r="V116" s="2" t="s">
        <v>26</v>
      </c>
    </row>
    <row r="117" spans="1:22" ht="15.6" x14ac:dyDescent="0.3">
      <c r="A117" s="2" t="s">
        <v>403</v>
      </c>
      <c r="B117" s="2" t="s">
        <v>404</v>
      </c>
      <c r="C117" s="2" t="s">
        <v>351</v>
      </c>
      <c r="D117" s="3">
        <v>1</v>
      </c>
      <c r="E117" s="4"/>
      <c r="F117" s="2" t="s">
        <v>22</v>
      </c>
      <c r="G117" s="2" t="s">
        <v>23</v>
      </c>
      <c r="H117" s="5" t="s">
        <v>392</v>
      </c>
      <c r="I117" s="2" t="s">
        <v>405</v>
      </c>
      <c r="J117" s="2" t="str">
        <f>_xlfn.XLOOKUP(B117,'[1]Snow Pre-Treatment - CCC - FY26'!$C:$C,'[1]Snow Pre-Treatment - CCC - FY26'!$G:$G)</f>
        <v>CSPT - 230126-30452</v>
      </c>
      <c r="K117" s="2"/>
      <c r="L117" s="2" t="s">
        <v>21</v>
      </c>
      <c r="M117" s="2" t="s">
        <v>27</v>
      </c>
      <c r="N117" s="2" t="s">
        <v>28</v>
      </c>
      <c r="O117" s="2" t="s">
        <v>28</v>
      </c>
      <c r="P117" s="2" t="s">
        <v>27</v>
      </c>
      <c r="Q117" s="2" t="s">
        <v>27</v>
      </c>
      <c r="R117" s="2" t="s">
        <v>27</v>
      </c>
      <c r="S117" s="2" t="s">
        <v>27</v>
      </c>
      <c r="T117" s="3">
        <v>1</v>
      </c>
      <c r="U117" s="2" t="s">
        <v>46</v>
      </c>
      <c r="V117" s="2" t="s">
        <v>21</v>
      </c>
    </row>
    <row r="118" spans="1:22" ht="15.6" x14ac:dyDescent="0.3">
      <c r="A118" s="2" t="s">
        <v>406</v>
      </c>
      <c r="B118" s="2" t="s">
        <v>407</v>
      </c>
      <c r="C118" s="2" t="s">
        <v>351</v>
      </c>
      <c r="D118" s="3">
        <v>1</v>
      </c>
      <c r="E118" s="4"/>
      <c r="F118" s="2" t="s">
        <v>22</v>
      </c>
      <c r="G118" s="2" t="s">
        <v>23</v>
      </c>
      <c r="H118" s="5" t="s">
        <v>392</v>
      </c>
      <c r="I118" s="2" t="s">
        <v>408</v>
      </c>
      <c r="J118" s="2" t="str">
        <f>_xlfn.XLOOKUP(B118,'[1]Snow Pre-Treatment - CCC - FY26'!$C:$C,'[1]Snow Pre-Treatment - CCC - FY26'!$G:$G)</f>
        <v>CSPT - 230126-30457</v>
      </c>
      <c r="K118" s="2"/>
      <c r="L118" s="2" t="s">
        <v>21</v>
      </c>
      <c r="M118" s="2" t="s">
        <v>27</v>
      </c>
      <c r="N118" s="2" t="s">
        <v>28</v>
      </c>
      <c r="O118" s="2" t="s">
        <v>28</v>
      </c>
      <c r="P118" s="2" t="s">
        <v>27</v>
      </c>
      <c r="Q118" s="2" t="s">
        <v>27</v>
      </c>
      <c r="R118" s="2" t="s">
        <v>27</v>
      </c>
      <c r="S118" s="2" t="s">
        <v>27</v>
      </c>
      <c r="T118" s="3">
        <v>1</v>
      </c>
      <c r="U118" s="2" t="s">
        <v>46</v>
      </c>
      <c r="V118" s="2" t="s">
        <v>21</v>
      </c>
    </row>
    <row r="119" spans="1:22" ht="15.6" x14ac:dyDescent="0.3">
      <c r="A119" s="2" t="s">
        <v>409</v>
      </c>
      <c r="B119" s="2" t="s">
        <v>410</v>
      </c>
      <c r="C119" s="2" t="s">
        <v>351</v>
      </c>
      <c r="D119" s="3">
        <v>1</v>
      </c>
      <c r="E119" s="4"/>
      <c r="F119" s="2" t="s">
        <v>22</v>
      </c>
      <c r="G119" s="2" t="s">
        <v>23</v>
      </c>
      <c r="H119" s="5" t="s">
        <v>147</v>
      </c>
      <c r="I119" s="2" t="s">
        <v>411</v>
      </c>
      <c r="J119" s="2" t="str">
        <f>_xlfn.XLOOKUP(B119,'[1]Snow Pre-Treatment - CCC - FY26'!$C:$C,'[1]Snow Pre-Treatment - CCC - FY26'!$G:$G)</f>
        <v>CSPT - 230126-30458</v>
      </c>
      <c r="K119" s="2"/>
      <c r="L119" s="2" t="s">
        <v>21</v>
      </c>
      <c r="M119" s="2" t="s">
        <v>27</v>
      </c>
      <c r="N119" s="2" t="s">
        <v>28</v>
      </c>
      <c r="O119" s="2" t="s">
        <v>28</v>
      </c>
      <c r="P119" s="2" t="s">
        <v>27</v>
      </c>
      <c r="Q119" s="2" t="s">
        <v>27</v>
      </c>
      <c r="R119" s="2" t="s">
        <v>27</v>
      </c>
      <c r="S119" s="2" t="s">
        <v>27</v>
      </c>
      <c r="T119" s="3">
        <v>1</v>
      </c>
      <c r="U119" s="2" t="s">
        <v>46</v>
      </c>
      <c r="V119" s="2" t="s">
        <v>21</v>
      </c>
    </row>
    <row r="120" spans="1:22" ht="15.6" x14ac:dyDescent="0.3">
      <c r="A120" s="2" t="s">
        <v>412</v>
      </c>
      <c r="B120" s="2" t="s">
        <v>413</v>
      </c>
      <c r="C120" s="2" t="s">
        <v>351</v>
      </c>
      <c r="D120" s="3">
        <v>1</v>
      </c>
      <c r="E120" s="4"/>
      <c r="F120" s="2" t="s">
        <v>22</v>
      </c>
      <c r="G120" s="2" t="s">
        <v>23</v>
      </c>
      <c r="H120" s="5" t="s">
        <v>147</v>
      </c>
      <c r="I120" s="2" t="s">
        <v>414</v>
      </c>
      <c r="J120" s="2" t="str">
        <f>_xlfn.XLOOKUP(B120,'[1]Snow Pre-Treatment - CCC - FY26'!$C:$C,'[1]Snow Pre-Treatment - CCC - FY26'!$G:$G)</f>
        <v>CSPT - 230126-30468</v>
      </c>
      <c r="K120" s="2"/>
      <c r="L120" s="2" t="s">
        <v>21</v>
      </c>
      <c r="M120" s="2" t="s">
        <v>27</v>
      </c>
      <c r="N120" s="2" t="s">
        <v>28</v>
      </c>
      <c r="O120" s="2" t="s">
        <v>28</v>
      </c>
      <c r="P120" s="2" t="s">
        <v>27</v>
      </c>
      <c r="Q120" s="2" t="s">
        <v>27</v>
      </c>
      <c r="R120" s="2" t="s">
        <v>27</v>
      </c>
      <c r="S120" s="2" t="s">
        <v>27</v>
      </c>
      <c r="T120" s="3">
        <v>1</v>
      </c>
      <c r="U120" s="2" t="s">
        <v>46</v>
      </c>
      <c r="V120" s="2" t="s">
        <v>21</v>
      </c>
    </row>
    <row r="121" spans="1:22" ht="15.6" x14ac:dyDescent="0.3">
      <c r="A121" s="2" t="s">
        <v>415</v>
      </c>
      <c r="B121" s="2" t="s">
        <v>416</v>
      </c>
      <c r="C121" s="2" t="s">
        <v>351</v>
      </c>
      <c r="D121" s="3">
        <v>1</v>
      </c>
      <c r="E121" s="4"/>
      <c r="F121" s="2" t="s">
        <v>22</v>
      </c>
      <c r="G121" s="2" t="s">
        <v>23</v>
      </c>
      <c r="H121" s="5" t="s">
        <v>166</v>
      </c>
      <c r="I121" s="2" t="s">
        <v>417</v>
      </c>
      <c r="J121" s="2" t="str">
        <f>_xlfn.XLOOKUP(B121,'[1]Snow Pre-Treatment - CCC - FY26'!$C:$C,'[1]Snow Pre-Treatment - CCC - FY26'!$G:$G)</f>
        <v>CSPT - 230126-30470</v>
      </c>
      <c r="K121" s="2"/>
      <c r="L121" s="2" t="s">
        <v>21</v>
      </c>
      <c r="M121" s="2" t="s">
        <v>27</v>
      </c>
      <c r="N121" s="2" t="s">
        <v>28</v>
      </c>
      <c r="O121" s="2" t="s">
        <v>28</v>
      </c>
      <c r="P121" s="2" t="s">
        <v>27</v>
      </c>
      <c r="Q121" s="2" t="s">
        <v>27</v>
      </c>
      <c r="R121" s="2" t="s">
        <v>27</v>
      </c>
      <c r="S121" s="2" t="s">
        <v>27</v>
      </c>
      <c r="T121" s="3">
        <v>1</v>
      </c>
      <c r="U121" s="2" t="s">
        <v>46</v>
      </c>
      <c r="V121" s="2" t="s">
        <v>21</v>
      </c>
    </row>
    <row r="122" spans="1:22" ht="15.6" x14ac:dyDescent="0.3">
      <c r="A122" s="2" t="s">
        <v>418</v>
      </c>
      <c r="B122" s="2" t="s">
        <v>419</v>
      </c>
      <c r="C122" s="2" t="s">
        <v>351</v>
      </c>
      <c r="D122" s="3">
        <v>1</v>
      </c>
      <c r="E122" s="4"/>
      <c r="F122" s="2" t="s">
        <v>22</v>
      </c>
      <c r="G122" s="2" t="s">
        <v>23</v>
      </c>
      <c r="H122" s="5" t="s">
        <v>166</v>
      </c>
      <c r="I122" s="2" t="s">
        <v>420</v>
      </c>
      <c r="J122" s="2" t="str">
        <f>_xlfn.XLOOKUP(B122,'[1]Snow Pre-Treatment - CCC - FY26'!$C:$C,'[1]Snow Pre-Treatment - CCC - FY26'!$G:$G)</f>
        <v>CSPT - 230126-30496</v>
      </c>
      <c r="K122" s="2"/>
      <c r="L122" s="2" t="s">
        <v>26</v>
      </c>
      <c r="M122" s="2" t="s">
        <v>27</v>
      </c>
      <c r="N122" s="2" t="s">
        <v>28</v>
      </c>
      <c r="O122" s="2" t="s">
        <v>28</v>
      </c>
      <c r="P122" s="2" t="s">
        <v>27</v>
      </c>
      <c r="Q122" s="2" t="s">
        <v>27</v>
      </c>
      <c r="R122" s="2" t="s">
        <v>27</v>
      </c>
      <c r="S122" s="2" t="s">
        <v>27</v>
      </c>
      <c r="T122" s="3">
        <v>1</v>
      </c>
      <c r="U122" s="2" t="s">
        <v>38</v>
      </c>
      <c r="V122" s="2" t="s">
        <v>26</v>
      </c>
    </row>
    <row r="123" spans="1:22" ht="15.6" x14ac:dyDescent="0.3">
      <c r="A123" s="2" t="s">
        <v>421</v>
      </c>
      <c r="B123" s="2" t="s">
        <v>422</v>
      </c>
      <c r="C123" s="2" t="s">
        <v>351</v>
      </c>
      <c r="D123" s="3">
        <v>1</v>
      </c>
      <c r="E123" s="4"/>
      <c r="F123" s="2" t="s">
        <v>22</v>
      </c>
      <c r="G123" s="2" t="s">
        <v>23</v>
      </c>
      <c r="H123" s="5" t="s">
        <v>170</v>
      </c>
      <c r="I123" s="2" t="s">
        <v>423</v>
      </c>
      <c r="J123" s="2" t="str">
        <f>_xlfn.XLOOKUP(B123,'[1]Snow Pre-Treatment - CCC - FY26'!$C:$C,'[1]Snow Pre-Treatment - CCC - FY26'!$G:$G)</f>
        <v>CSPT - 230126-30472</v>
      </c>
      <c r="K123" s="2"/>
      <c r="L123" s="2" t="s">
        <v>21</v>
      </c>
      <c r="M123" s="2" t="s">
        <v>27</v>
      </c>
      <c r="N123" s="2" t="s">
        <v>28</v>
      </c>
      <c r="O123" s="2" t="s">
        <v>28</v>
      </c>
      <c r="P123" s="2" t="s">
        <v>27</v>
      </c>
      <c r="Q123" s="2" t="s">
        <v>27</v>
      </c>
      <c r="R123" s="2" t="s">
        <v>27</v>
      </c>
      <c r="S123" s="2" t="s">
        <v>27</v>
      </c>
      <c r="T123" s="3">
        <v>1</v>
      </c>
      <c r="U123" s="2" t="s">
        <v>46</v>
      </c>
      <c r="V123" s="2" t="s">
        <v>21</v>
      </c>
    </row>
    <row r="124" spans="1:22" ht="15.6" x14ac:dyDescent="0.3">
      <c r="A124" s="2" t="s">
        <v>424</v>
      </c>
      <c r="B124" s="2" t="s">
        <v>425</v>
      </c>
      <c r="C124" s="2" t="s">
        <v>351</v>
      </c>
      <c r="D124" s="3">
        <v>1</v>
      </c>
      <c r="E124" s="4"/>
      <c r="F124" s="2" t="s">
        <v>22</v>
      </c>
      <c r="G124" s="2" t="s">
        <v>23</v>
      </c>
      <c r="H124" s="5" t="s">
        <v>170</v>
      </c>
      <c r="I124" s="2" t="s">
        <v>426</v>
      </c>
      <c r="J124" s="2" t="str">
        <f>_xlfn.XLOOKUP(B124,'[1]Snow Pre-Treatment - CCC - FY26'!$C:$C,'[1]Snow Pre-Treatment - CCC - FY26'!$G:$G)</f>
        <v>CSPT - 230126-30484</v>
      </c>
      <c r="K124" s="2"/>
      <c r="L124" s="2" t="s">
        <v>21</v>
      </c>
      <c r="M124" s="2" t="s">
        <v>27</v>
      </c>
      <c r="N124" s="2" t="s">
        <v>28</v>
      </c>
      <c r="O124" s="2" t="s">
        <v>28</v>
      </c>
      <c r="P124" s="2" t="s">
        <v>27</v>
      </c>
      <c r="Q124" s="2" t="s">
        <v>27</v>
      </c>
      <c r="R124" s="2" t="s">
        <v>27</v>
      </c>
      <c r="S124" s="2" t="s">
        <v>27</v>
      </c>
      <c r="T124" s="3">
        <v>1</v>
      </c>
      <c r="U124" s="2" t="s">
        <v>46</v>
      </c>
      <c r="V124" s="2" t="s">
        <v>21</v>
      </c>
    </row>
    <row r="125" spans="1:22" ht="15.6" x14ac:dyDescent="0.3">
      <c r="A125" s="2" t="s">
        <v>427</v>
      </c>
      <c r="B125" s="2" t="s">
        <v>378</v>
      </c>
      <c r="C125" s="2" t="s">
        <v>351</v>
      </c>
      <c r="D125" s="3">
        <v>1</v>
      </c>
      <c r="E125" s="4"/>
      <c r="F125" s="2" t="s">
        <v>22</v>
      </c>
      <c r="G125" s="2" t="s">
        <v>23</v>
      </c>
      <c r="H125" s="5" t="s">
        <v>170</v>
      </c>
      <c r="I125" s="2" t="s">
        <v>428</v>
      </c>
      <c r="J125" s="2" t="str">
        <f>_xlfn.XLOOKUP(B125,'[1]Snow Pre-Treatment - CCC - FY26'!$C:$C,'[1]Snow Pre-Treatment - CCC - FY26'!$G:$G)</f>
        <v>CSPT - 230126-30688</v>
      </c>
      <c r="K125" s="2"/>
      <c r="L125" s="2" t="s">
        <v>21</v>
      </c>
      <c r="M125" s="2" t="s">
        <v>27</v>
      </c>
      <c r="N125" s="2" t="s">
        <v>28</v>
      </c>
      <c r="O125" s="2" t="s">
        <v>28</v>
      </c>
      <c r="P125" s="2" t="s">
        <v>27</v>
      </c>
      <c r="Q125" s="2" t="s">
        <v>27</v>
      </c>
      <c r="R125" s="2" t="s">
        <v>27</v>
      </c>
      <c r="S125" s="2" t="s">
        <v>27</v>
      </c>
      <c r="T125" s="3">
        <v>1</v>
      </c>
      <c r="U125" s="2" t="s">
        <v>46</v>
      </c>
      <c r="V125" s="2" t="s">
        <v>21</v>
      </c>
    </row>
    <row r="126" spans="1:22" ht="15.6" x14ac:dyDescent="0.3">
      <c r="A126" s="2" t="s">
        <v>429</v>
      </c>
      <c r="B126" s="2" t="s">
        <v>430</v>
      </c>
      <c r="C126" s="2" t="s">
        <v>351</v>
      </c>
      <c r="D126" s="3">
        <v>1</v>
      </c>
      <c r="E126" s="4"/>
      <c r="F126" s="2" t="s">
        <v>22</v>
      </c>
      <c r="G126" s="2" t="s">
        <v>23</v>
      </c>
      <c r="H126" s="5" t="s">
        <v>431</v>
      </c>
      <c r="I126" s="2" t="s">
        <v>432</v>
      </c>
      <c r="J126" s="2" t="str">
        <f>_xlfn.XLOOKUP(B126,'[1]Snow Pre-Treatment - CCC - FY26'!$C:$C,'[1]Snow Pre-Treatment - CCC - FY26'!$G:$G)</f>
        <v>CSPT - 230126-30491</v>
      </c>
      <c r="K126" s="2"/>
      <c r="L126" s="2" t="s">
        <v>21</v>
      </c>
      <c r="M126" s="2" t="s">
        <v>27</v>
      </c>
      <c r="N126" s="2" t="s">
        <v>28</v>
      </c>
      <c r="O126" s="2" t="s">
        <v>28</v>
      </c>
      <c r="P126" s="2" t="s">
        <v>27</v>
      </c>
      <c r="Q126" s="2" t="s">
        <v>27</v>
      </c>
      <c r="R126" s="2" t="s">
        <v>27</v>
      </c>
      <c r="S126" s="2" t="s">
        <v>27</v>
      </c>
      <c r="T126" s="3">
        <v>1</v>
      </c>
      <c r="U126" s="2" t="s">
        <v>149</v>
      </c>
      <c r="V126" s="2" t="s">
        <v>21</v>
      </c>
    </row>
    <row r="127" spans="1:22" ht="15.6" x14ac:dyDescent="0.3">
      <c r="A127" s="2" t="s">
        <v>433</v>
      </c>
      <c r="B127" s="2" t="s">
        <v>434</v>
      </c>
      <c r="C127" s="2" t="s">
        <v>351</v>
      </c>
      <c r="D127" s="3">
        <v>1</v>
      </c>
      <c r="E127" s="4"/>
      <c r="F127" s="2" t="s">
        <v>22</v>
      </c>
      <c r="G127" s="2" t="s">
        <v>23</v>
      </c>
      <c r="H127" s="5" t="s">
        <v>435</v>
      </c>
      <c r="I127" s="2" t="s">
        <v>436</v>
      </c>
      <c r="J127" s="2" t="str">
        <f>_xlfn.XLOOKUP(B127,'[1]Snow Pre-Treatment - CCC - FY26'!$C:$C,'[1]Snow Pre-Treatment - CCC - FY26'!$G:$G)</f>
        <v>CSPT - 230126-30474</v>
      </c>
      <c r="K127" s="2"/>
      <c r="L127" s="2" t="s">
        <v>21</v>
      </c>
      <c r="M127" s="2" t="s">
        <v>27</v>
      </c>
      <c r="N127" s="2" t="s">
        <v>28</v>
      </c>
      <c r="O127" s="2" t="s">
        <v>28</v>
      </c>
      <c r="P127" s="2" t="s">
        <v>27</v>
      </c>
      <c r="Q127" s="2" t="s">
        <v>27</v>
      </c>
      <c r="R127" s="2" t="s">
        <v>27</v>
      </c>
      <c r="S127" s="2" t="s">
        <v>27</v>
      </c>
      <c r="T127" s="3">
        <v>1</v>
      </c>
      <c r="U127" s="2" t="s">
        <v>46</v>
      </c>
      <c r="V127" s="2" t="s">
        <v>21</v>
      </c>
    </row>
    <row r="128" spans="1:22" ht="15.6" x14ac:dyDescent="0.3">
      <c r="A128" s="2" t="s">
        <v>437</v>
      </c>
      <c r="B128" s="2" t="s">
        <v>438</v>
      </c>
      <c r="C128" s="2" t="s">
        <v>351</v>
      </c>
      <c r="D128" s="3">
        <v>1</v>
      </c>
      <c r="E128" s="4"/>
      <c r="F128" s="2" t="s">
        <v>22</v>
      </c>
      <c r="G128" s="2" t="s">
        <v>23</v>
      </c>
      <c r="H128" s="5" t="s">
        <v>435</v>
      </c>
      <c r="I128" s="2" t="s">
        <v>439</v>
      </c>
      <c r="J128" s="2" t="str">
        <f>_xlfn.XLOOKUP(B128,'[1]Snow Pre-Treatment - CCC - FY26'!$C:$C,'[1]Snow Pre-Treatment - CCC - FY26'!$G:$G)</f>
        <v>CSPT - 230126-30475</v>
      </c>
      <c r="K128" s="2"/>
      <c r="L128" s="2" t="s">
        <v>21</v>
      </c>
      <c r="M128" s="2" t="s">
        <v>27</v>
      </c>
      <c r="N128" s="2" t="s">
        <v>28</v>
      </c>
      <c r="O128" s="2" t="s">
        <v>28</v>
      </c>
      <c r="P128" s="2" t="s">
        <v>27</v>
      </c>
      <c r="Q128" s="2" t="s">
        <v>27</v>
      </c>
      <c r="R128" s="2" t="s">
        <v>27</v>
      </c>
      <c r="S128" s="2" t="s">
        <v>27</v>
      </c>
      <c r="T128" s="3">
        <v>1</v>
      </c>
      <c r="U128" s="2" t="s">
        <v>46</v>
      </c>
      <c r="V128" s="2" t="s">
        <v>21</v>
      </c>
    </row>
    <row r="129" spans="1:22" ht="15.6" x14ac:dyDescent="0.3">
      <c r="A129" s="2" t="s">
        <v>440</v>
      </c>
      <c r="B129" s="2" t="s">
        <v>441</v>
      </c>
      <c r="C129" s="2" t="s">
        <v>351</v>
      </c>
      <c r="D129" s="3">
        <v>1</v>
      </c>
      <c r="E129" s="4"/>
      <c r="F129" s="2" t="s">
        <v>22</v>
      </c>
      <c r="G129" s="2" t="s">
        <v>23</v>
      </c>
      <c r="H129" s="5" t="s">
        <v>442</v>
      </c>
      <c r="I129" s="2" t="s">
        <v>443</v>
      </c>
      <c r="J129" s="2" t="str">
        <f>_xlfn.XLOOKUP(B129,'[1]Snow Pre-Treatment - CCC - FY26'!$C:$C,'[1]Snow Pre-Treatment - CCC - FY26'!$G:$G)</f>
        <v>CSPT - 230126-30483</v>
      </c>
      <c r="K129" s="2"/>
      <c r="L129" s="2" t="s">
        <v>21</v>
      </c>
      <c r="M129" s="2" t="s">
        <v>27</v>
      </c>
      <c r="N129" s="2" t="s">
        <v>28</v>
      </c>
      <c r="O129" s="2" t="s">
        <v>28</v>
      </c>
      <c r="P129" s="2" t="s">
        <v>27</v>
      </c>
      <c r="Q129" s="2" t="s">
        <v>27</v>
      </c>
      <c r="R129" s="2" t="s">
        <v>27</v>
      </c>
      <c r="S129" s="2" t="s">
        <v>27</v>
      </c>
      <c r="T129" s="3">
        <v>1</v>
      </c>
      <c r="U129" s="2" t="s">
        <v>46</v>
      </c>
      <c r="V129" s="2" t="s">
        <v>21</v>
      </c>
    </row>
    <row r="130" spans="1:22" ht="15.6" x14ac:dyDescent="0.3">
      <c r="A130" s="2" t="s">
        <v>444</v>
      </c>
      <c r="B130" s="2" t="s">
        <v>445</v>
      </c>
      <c r="C130" s="2" t="s">
        <v>351</v>
      </c>
      <c r="D130" s="3">
        <v>1</v>
      </c>
      <c r="E130" s="4"/>
      <c r="F130" s="2" t="s">
        <v>22</v>
      </c>
      <c r="G130" s="2" t="s">
        <v>23</v>
      </c>
      <c r="H130" s="5" t="s">
        <v>442</v>
      </c>
      <c r="I130" s="2" t="s">
        <v>446</v>
      </c>
      <c r="J130" s="2" t="str">
        <f>_xlfn.XLOOKUP(B130,'[1]Snow Pre-Treatment - CCC - FY26'!$C:$C,'[1]Snow Pre-Treatment - CCC - FY26'!$G:$G)</f>
        <v>CSPT - 230126-30478</v>
      </c>
      <c r="K130" s="2"/>
      <c r="L130" s="2" t="s">
        <v>21</v>
      </c>
      <c r="M130" s="2" t="s">
        <v>27</v>
      </c>
      <c r="N130" s="2" t="s">
        <v>28</v>
      </c>
      <c r="O130" s="2" t="s">
        <v>28</v>
      </c>
      <c r="P130" s="2" t="s">
        <v>27</v>
      </c>
      <c r="Q130" s="2" t="s">
        <v>27</v>
      </c>
      <c r="R130" s="2" t="s">
        <v>27</v>
      </c>
      <c r="S130" s="2" t="s">
        <v>27</v>
      </c>
      <c r="T130" s="3">
        <v>1</v>
      </c>
      <c r="U130" s="2" t="s">
        <v>46</v>
      </c>
      <c r="V130" s="2" t="s">
        <v>21</v>
      </c>
    </row>
    <row r="131" spans="1:22" ht="15.6" x14ac:dyDescent="0.3">
      <c r="A131" s="2" t="s">
        <v>447</v>
      </c>
      <c r="B131" s="2" t="s">
        <v>448</v>
      </c>
      <c r="C131" s="2" t="s">
        <v>351</v>
      </c>
      <c r="D131" s="3">
        <v>1</v>
      </c>
      <c r="E131" s="4"/>
      <c r="F131" s="2" t="s">
        <v>22</v>
      </c>
      <c r="G131" s="2" t="s">
        <v>23</v>
      </c>
      <c r="H131" s="5" t="s">
        <v>449</v>
      </c>
      <c r="I131" s="2" t="s">
        <v>450</v>
      </c>
      <c r="J131" s="2" t="str">
        <f>_xlfn.XLOOKUP(B131,'[1]Snow Pre-Treatment - CCC - FY26'!$C:$C,'[1]Snow Pre-Treatment - CCC - FY26'!$G:$G)</f>
        <v>CSPT - 230126-30477</v>
      </c>
      <c r="K131" s="2"/>
      <c r="L131" s="2" t="s">
        <v>21</v>
      </c>
      <c r="M131" s="2" t="s">
        <v>27</v>
      </c>
      <c r="N131" s="2" t="s">
        <v>28</v>
      </c>
      <c r="O131" s="2" t="s">
        <v>28</v>
      </c>
      <c r="P131" s="2" t="s">
        <v>27</v>
      </c>
      <c r="Q131" s="2" t="s">
        <v>27</v>
      </c>
      <c r="R131" s="2" t="s">
        <v>27</v>
      </c>
      <c r="S131" s="2" t="s">
        <v>27</v>
      </c>
      <c r="T131" s="3">
        <v>1</v>
      </c>
      <c r="U131" s="2" t="s">
        <v>46</v>
      </c>
      <c r="V13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 Removal - CCC - 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Leonardo Galvao</cp:lastModifiedBy>
  <dcterms:created xsi:type="dcterms:W3CDTF">2026-02-02T13:49:01Z</dcterms:created>
  <dcterms:modified xsi:type="dcterms:W3CDTF">2026-02-02T14:08:30Z</dcterms:modified>
</cp:coreProperties>
</file>